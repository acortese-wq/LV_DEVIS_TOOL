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Kostenübersicht" sheetId="1" r:id="rId1"/>
    <sheet name="Aufstellung nach Elementen" sheetId="2" r:id="rId2"/>
    <sheet name="Zusammenfassung nach Kapitel" sheetId="3" r:id="rId3"/>
    <sheet name="Massenbilanz" sheetId="4" r:id="rId4"/>
    <sheet name="Vollständigkeit des Leistungsum" sheetId="5" r:id="rId5"/>
    <sheet name="Annahmen mit Kostenauswirkung" sheetId="6" r:id="rId6"/>
    <sheet name="Warnungen und Hinweise" sheetId="7" r:id="rId7"/>
    <sheet name="Grundlagen und Annahmen" sheetId="8" r:id="rId8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"/>
    <numFmt numFmtId="165" formatCode="0.0&quot; %&quot;"/>
  </numFmts>
  <fonts count="9"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sz val="8"/>
      <color rgb="FF71767C"/>
      <name val="Arial"/>
    </font>
    <font>
      <b/>
      <sz val="15"/>
      <color rgb="FF0D47C8"/>
      <name val="Arial"/>
    </font>
    <font>
      <sz val="10"/>
      <color rgb="FF71767C"/>
      <name val="Arial"/>
    </font>
    <font>
      <sz val="9"/>
      <name val="Consolas"/>
    </font>
    <font>
      <b/>
      <sz val="10"/>
      <color rgb="FFC2192B"/>
      <name val="Arial"/>
    </font>
    <font>
      <sz val="10"/>
      <color rgb="FF8A5B00"/>
      <name val="Arial"/>
    </font>
  </fonts>
  <fills count="7">
    <fill>
      <patternFill patternType="none"/>
    </fill>
    <fill>
      <patternFill patternType="gray125"/>
    </fill>
    <fill>
      <patternFill patternType="solid">
        <fgColor rgb="FF0D47C8"/>
      </patternFill>
    </fill>
    <fill>
      <patternFill patternType="solid">
        <fgColor rgb="FFF0F1F3"/>
      </patternFill>
    </fill>
    <fill>
      <patternFill patternType="solid">
        <fgColor rgb="FFFDF5E6"/>
      </patternFill>
    </fill>
    <fill>
      <patternFill patternType="solid">
        <fgColor rgb="FFFDECED"/>
      </patternFill>
    </fill>
    <fill>
      <patternFill patternType="solid">
        <fgColor rgb="FFF4F6FA"/>
      </patternFill>
    </fill>
  </fills>
  <borders count="3">
    <border>
      <left/>
      <right/>
      <top/>
      <bottom/>
      <diagonal/>
    </border>
    <border>
      <left/>
      <right/>
      <top/>
      <bottom style="thin">
        <color rgb="FFE4E6E9"/>
      </bottom>
      <diagonal/>
    </border>
    <border>
      <left/>
      <right/>
      <top style="thin">
        <color rgb="FF1A1C1E"/>
      </top>
      <bottom/>
      <diagonal/>
    </border>
  </borders>
  <cellStyleXfs count="1">
    <xf numFmtId="0" fontId="0" fillId="0" borderId="0"/>
  </cellStyleXfs>
  <cellXfs count="23">
    <xf numFmtId="0" fontId="0" fillId="0" borderId="0" xfId="0" applyFont="1" applyFill="1" applyBorder="1" applyNumberFormat="1" applyAlignment="1">
      <alignment vertical="top"/>
    </xf>
    <xf numFmtId="0" fontId="2" fillId="2" borderId="0" xfId="0" applyFont="1" applyFill="1" applyBorder="1" applyNumberFormat="1" applyAlignment="1">
      <alignment vertical="top" wrapText="1"/>
    </xf>
    <xf numFmtId="0" fontId="1" fillId="3" borderId="0" xfId="0" applyFont="1" applyFill="1" applyBorder="1" applyNumberFormat="1" applyAlignment="1">
      <alignment vertical="top"/>
    </xf>
    <xf numFmtId="164" fontId="0" fillId="0" borderId="1" xfId="0" applyFont="1" applyFill="1" applyBorder="1" applyNumberFormat="1" applyAlignment="1">
      <alignment vertical="top"/>
    </xf>
    <xf numFmtId="164" fontId="1" fillId="0" borderId="2" xfId="0" applyFont="1" applyFill="1" applyBorder="1" applyNumberFormat="1" applyAlignment="1">
      <alignment vertical="top"/>
    </xf>
    <xf numFmtId="0" fontId="4" fillId="0" borderId="0" xfId="0" applyFont="1" applyFill="1" applyBorder="1" applyNumberFormat="1" applyAlignment="1">
      <alignment vertical="top"/>
    </xf>
    <xf numFmtId="0" fontId="1" fillId="0" borderId="0" xfId="0" applyFont="1" applyFill="1" applyBorder="1" applyNumberFormat="1" applyAlignment="1">
      <alignment vertical="top"/>
    </xf>
    <xf numFmtId="0" fontId="0" fillId="0" borderId="1" xfId="0" applyFont="1" applyFill="1" applyBorder="1" applyNumberFormat="1" applyAlignment="1">
      <alignment vertical="top" wrapText="1"/>
    </xf>
    <xf numFmtId="0" fontId="3" fillId="0" borderId="0" xfId="0" applyFont="1" applyFill="1" applyBorder="1" applyNumberFormat="1" applyAlignment="1">
      <alignment vertical="top" wrapText="1"/>
    </xf>
    <xf numFmtId="0" fontId="8" fillId="4" borderId="1" xfId="0" applyFont="1" applyFill="1" applyBorder="1" applyNumberFormat="1" applyAlignment="1">
      <alignment vertical="top" wrapText="1"/>
    </xf>
    <xf numFmtId="0" fontId="7" fillId="5" borderId="1" xfId="0" applyFont="1" applyFill="1" applyBorder="1" applyNumberFormat="1" applyAlignment="1">
      <alignment vertical="top" wrapText="1"/>
    </xf>
    <xf numFmtId="164" fontId="8" fillId="4" borderId="1" xfId="0" applyFont="1" applyFill="1" applyBorder="1" applyNumberFormat="1" applyAlignment="1">
      <alignment vertical="top"/>
    </xf>
    <xf numFmtId="164" fontId="7" fillId="5" borderId="1" xfId="0" applyFont="1" applyFill="1" applyBorder="1" applyNumberFormat="1" applyAlignment="1">
      <alignment vertical="top"/>
    </xf>
    <xf numFmtId="0" fontId="5" fillId="0" borderId="0" xfId="0" applyFont="1" applyFill="1" applyBorder="1" applyNumberFormat="1" applyAlignment="1">
      <alignment vertical="top"/>
    </xf>
    <xf numFmtId="1" fontId="0" fillId="0" borderId="1" xfId="0" applyFont="1" applyFill="1" applyBorder="1" applyNumberFormat="1" applyAlignment="1">
      <alignment vertical="top"/>
    </xf>
    <xf numFmtId="164" fontId="1" fillId="6" borderId="2" xfId="0" applyFont="1" applyFill="1" applyBorder="1" applyNumberFormat="1" applyAlignment="1">
      <alignment vertical="top"/>
    </xf>
    <xf numFmtId="0" fontId="1" fillId="6" borderId="2" xfId="0" applyFont="1" applyFill="1" applyBorder="1" applyNumberFormat="1" applyAlignment="1">
      <alignment vertical="top"/>
    </xf>
    <xf numFmtId="165" fontId="0" fillId="0" borderId="1" xfId="0" applyFont="1" applyFill="1" applyBorder="1" applyNumberFormat="1" applyAlignment="1">
      <alignment vertical="top"/>
    </xf>
    <xf numFmtId="0" fontId="1" fillId="3" borderId="0" xfId="0" applyFont="1" applyFill="1" applyBorder="1" applyNumberFormat="1" applyAlignment="1">
      <alignment vertical="top"/>
    </xf>
    <xf numFmtId="0" fontId="6" fillId="0" borderId="1" xfId="0" applyFont="1" applyFill="1" applyBorder="1" applyNumberFormat="1" applyAlignment="1">
      <alignment vertical="top"/>
    </xf>
    <xf numFmtId="0" fontId="7" fillId="5" borderId="0" xfId="0" applyFont="1" applyFill="1" applyBorder="1" applyNumberFormat="1" applyAlignment="1">
      <alignment vertical="top" wrapText="1"/>
    </xf>
    <xf numFmtId="0" fontId="8" fillId="4" borderId="0" xfId="0" applyFont="1" applyFill="1" applyBorder="1" applyNumberFormat="1" applyAlignment="1">
      <alignment vertical="top" wrapText="1"/>
    </xf>
    <xf numFmtId="0" fontId="5" fillId="0" borderId="0" xfId="0" applyFont="1" applyFill="1" applyBorder="1" applyNumberForma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 tabSelected="1"/>
  </sheetViews>
  <sheetFormatPr defaultRowHeight="15"/>
  <cols>
    <col min="1" max="1" width="46" customWidth="1"/>
    <col min="2" max="2" width="20" customWidth="1"/>
    <col min="3" max="3" width="18" customWidth="1"/>
  </cols>
  <sheetData>
    <row r="1">
      <c r="A1" s="5" t="inlineStr">
        <is>
          <t xml:space="preserve">LV-Devis Tiefbau</t>
        </is>
      </c>
    </row>
    <row r="2">
      <c r="A2" s="13" t="inlineStr">
        <is>
          <t xml:space="preserve">Kostenvoranschlag nach Bauteilen – LV Swisscom Infrastrukturarbeiten bei Baukooperationen (V1.1, 10.07.2026).</t>
        </is>
      </c>
    </row>
    <row r="3"/>
    <row r="4">
      <c r="A4" s="13" t="inlineStr">
        <is>
          <t xml:space="preserve">Projekt / Auftrag</t>
        </is>
      </c>
      <c r="B4" s="6" t="inlineStr">
        <is>
          <t xml:space="preserve"/>
        </is>
      </c>
    </row>
    <row r="5">
      <c r="A5" s="13" t="inlineStr">
        <is>
          <t xml:space="preserve">SAP_AT</t>
        </is>
      </c>
      <c r="B5" s="6" t="inlineStr">
        <is>
          <t xml:space="preserve"/>
        </is>
      </c>
    </row>
    <row r="6">
      <c r="A6" s="13" t="inlineStr">
        <is>
          <t xml:space="preserve">Bemerkung</t>
        </is>
      </c>
      <c r="B6" s="6" t="inlineStr">
        <is>
          <t xml:space="preserve"/>
        </is>
      </c>
    </row>
    <row r="7">
      <c r="A7" s="13" t="inlineStr">
        <is>
          <t xml:space="preserve">Standort / Strasse</t>
        </is>
      </c>
      <c r="B7" s="6" t="inlineStr">
        <is>
          <t xml:space="preserve"/>
        </is>
      </c>
    </row>
    <row r="8">
      <c r="A8" s="13" t="inlineStr">
        <is>
          <t xml:space="preserve">Bearbeitet durch</t>
        </is>
      </c>
      <c r="B8" s="6" t="inlineStr">
        <is>
          <t xml:space="preserve"/>
        </is>
      </c>
    </row>
    <row r="9">
      <c r="A9" s="13" t="inlineStr">
        <is>
          <t xml:space="preserve">Datum</t>
        </is>
      </c>
      <c r="B9" s="6" t="inlineStr">
        <is>
          <t xml:space="preserve">25.09.2026</t>
        </is>
      </c>
    </row>
    <row r="10">
      <c r="A10" s="13" t="inlineStr">
        <is>
          <t xml:space="preserve">Rolle</t>
        </is>
      </c>
      <c r="B10" s="6" t="inlineStr">
        <is>
          <t xml:space="preserve">ANV</t>
        </is>
      </c>
    </row>
    <row r="11">
      <c r="A11" s="13" t="inlineStr">
        <is>
          <t xml:space="preserve">Devis-Nr.</t>
        </is>
      </c>
      <c r="B11" s="6" t="inlineStr">
        <is>
          <t xml:space="preserve"/>
        </is>
      </c>
    </row>
    <row r="12">
      <c r="A12" s="13" t="inlineStr">
        <is>
          <t xml:space="preserve">Lieferant</t>
        </is>
      </c>
      <c r="B12" s="6" t="inlineStr">
        <is>
          <t xml:space="preserve"/>
        </is>
      </c>
    </row>
    <row r="13">
      <c r="A13" s="13" t="inlineStr">
        <is>
          <t xml:space="preserve">Vertragsnummer</t>
        </is>
      </c>
      <c r="B13" s="6" t="inlineStr">
        <is>
          <t xml:space="preserve"/>
        </is>
      </c>
    </row>
    <row r="14">
      <c r="A14" s="13" t="inlineStr">
        <is>
          <t xml:space="preserve">Lieferantentermin</t>
        </is>
      </c>
      <c r="B14" s="6" t="inlineStr">
        <is>
          <t xml:space="preserve"/>
        </is>
      </c>
    </row>
    <row r="15">
      <c r="A15" s="13" t="inlineStr">
        <is>
          <t xml:space="preserve">Belag durch Lieferant</t>
        </is>
      </c>
      <c r="B15" s="6" t="inlineStr">
        <is>
          <t xml:space="preserve">Nein</t>
        </is>
      </c>
    </row>
    <row r="16">
      <c r="A16" s="13" t="inlineStr">
        <is>
          <t xml:space="preserve">LV-Version</t>
        </is>
      </c>
      <c r="B16" s="6" t="inlineStr">
        <is>
          <t xml:space="preserve">V1.1 · 10.07.2026</t>
        </is>
      </c>
    </row>
    <row r="17"/>
    <row r="18">
      <c r="A18" s="1" t="inlineStr">
        <is>
          <t xml:space="preserve">Kostenübersicht</t>
        </is>
      </c>
      <c r="B18" s="1" t="inlineStr">
        <is>
          <t xml:space="preserve">CHF</t>
        </is>
      </c>
    </row>
    <row r="19">
      <c r="A19" s="0" t="inlineStr">
        <is>
          <t xml:space="preserve">Zwischensumme</t>
        </is>
      </c>
      <c r="B19" s="3">
        <f>'Aufstellung nach Elementen'!F40+'Aufstellung nach Elementen'!F50+'Aufstellung nach Elementen'!F55</f>
        <v>8913.26</v>
      </c>
    </row>
    <row r="20">
      <c r="A20" s="0" t="inlineStr">
        <is>
          <t xml:space="preserve">Rabattstufe</t>
        </is>
      </c>
      <c r="B20" s="14">
        <f>1+(B19&gt;A32)+(B19&gt;A33)+(B19&gt;A34)+(B19&gt;A35)</f>
        <v>1</v>
      </c>
    </row>
    <row r="21">
      <c r="A21" s="0" t="inlineStr">
        <is>
          <t xml:space="preserve">Rabatt in %</t>
        </is>
      </c>
      <c r="B21" s="17">
        <f>INDEX(B32:B36,B20)</f>
        <v>0</v>
      </c>
    </row>
    <row r="22">
      <c r="A22" s="0" t="inlineStr">
        <is>
          <t xml:space="preserve">Rabatt</t>
        </is>
      </c>
      <c r="B22" s="3">
        <f>ROUND(B19*B21/100,2)</f>
        <v>0</v>
      </c>
    </row>
    <row r="23">
      <c r="A23" s="0" t="inlineStr">
        <is>
          <t xml:space="preserve">Summe nach Rabatt</t>
        </is>
      </c>
      <c r="B23" s="3">
        <f>B19-B22</f>
        <v>8913.26</v>
      </c>
    </row>
    <row r="24">
      <c r="A24" s="0" t="inlineStr">
        <is>
          <t xml:space="preserve">Installationspauschale (R152)</t>
        </is>
      </c>
      <c r="B24" s="3">
        <f>IF(B19&gt;0,INDEX(C32:C36,B20),0)</f>
        <v>0</v>
      </c>
    </row>
    <row r="25">
      <c r="A25" s="16" t="inlineStr">
        <is>
          <t xml:space="preserve">Netto</t>
        </is>
      </c>
      <c r="B25" s="4">
        <f>B23+B24</f>
        <v>8913.26</v>
      </c>
    </row>
    <row r="26">
      <c r="A26" s="0" t="inlineStr">
        <is>
          <t xml:space="preserve">MWST-Satz</t>
        </is>
      </c>
      <c r="B26" s="17">
        <v>8.1</v>
      </c>
    </row>
    <row r="27">
      <c r="A27" s="0" t="inlineStr">
        <is>
          <t xml:space="preserve">MWST 8.1 %</t>
        </is>
      </c>
      <c r="B27" s="3">
        <f>ROUND(B25*B26/100,2)</f>
        <v>721.97</v>
      </c>
    </row>
    <row r="28">
      <c r="A28" s="16" t="inlineStr">
        <is>
          <t xml:space="preserve">Total inkl. MWST</t>
        </is>
      </c>
      <c r="B28" s="15">
        <f>B25+B27</f>
        <v>9635.23</v>
      </c>
    </row>
    <row r="29"/>
    <row r="30">
      <c r="A30" s="6" t="inlineStr">
        <is>
          <t xml:space="preserve">Rabattstaffel R151 / R152 (LV)</t>
        </is>
      </c>
    </row>
    <row r="31">
      <c r="A31" s="1" t="inlineStr">
        <is>
          <t xml:space="preserve">Zwischensumme bis CHF</t>
        </is>
      </c>
      <c r="B31" s="1" t="inlineStr">
        <is>
          <t xml:space="preserve">Rabatt in %</t>
        </is>
      </c>
      <c r="C31" s="1" t="inlineStr">
        <is>
          <t xml:space="preserve">Installationspauschale CHF</t>
        </is>
      </c>
    </row>
    <row r="32">
      <c r="A32" s="3">
        <v>10000</v>
      </c>
      <c r="B32" s="17">
        <v>0</v>
      </c>
      <c r="C32" s="3">
        <v>0</v>
      </c>
    </row>
    <row r="33">
      <c r="A33" s="3">
        <v>30000</v>
      </c>
      <c r="B33" s="17">
        <v>3</v>
      </c>
      <c r="C33" s="3">
        <v>700</v>
      </c>
    </row>
    <row r="34">
      <c r="A34" s="3">
        <v>50000</v>
      </c>
      <c r="B34" s="17">
        <v>5</v>
      </c>
      <c r="C34" s="3">
        <v>900</v>
      </c>
    </row>
    <row r="35">
      <c r="A35" s="3">
        <v>100000</v>
      </c>
      <c r="B35" s="17">
        <v>7</v>
      </c>
      <c r="C35" s="3">
        <v>1200</v>
      </c>
    </row>
    <row r="36">
      <c r="A36" s="0" t="inlineStr">
        <is>
          <t xml:space="preserve">&gt; 100000</t>
        </is>
      </c>
      <c r="B36" s="17">
        <v>9</v>
      </c>
      <c r="C36" s="3">
        <v>1500</v>
      </c>
    </row>
  </sheetData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 showGridLines="0">
      <pane ySplit="1" topLeftCell="A2" activePane="bottomLeft" state="frozen"/>
    </sheetView>
  </sheetViews>
  <sheetFormatPr defaultRowHeight="15"/>
  <cols>
    <col min="1" max="1" width="14" customWidth="1"/>
    <col min="2" max="2" width="88" customWidth="1"/>
    <col min="3" max="3" width="11" customWidth="1"/>
    <col min="4" max="4" width="7" customWidth="1"/>
    <col min="5" max="5" width="11" customWidth="1"/>
    <col min="6" max="6" width="13" customWidth="1"/>
  </cols>
  <sheetData>
    <row r="1">
      <c r="A1" s="1" t="inlineStr">
        <is>
          <t xml:space="preserve">NPK-Pos.</t>
        </is>
      </c>
      <c r="B1" s="1" t="inlineStr">
        <is>
          <t xml:space="preserve">Text</t>
        </is>
      </c>
      <c r="C1" s="1" t="inlineStr">
        <is>
          <t xml:space="preserve">Menge</t>
        </is>
      </c>
      <c r="D1" s="1" t="inlineStr">
        <is>
          <t xml:space="preserve">Einh.</t>
        </is>
      </c>
      <c r="E1" s="1" t="inlineStr">
        <is>
          <t xml:space="preserve">EP CHF</t>
        </is>
      </c>
      <c r="F1" s="1" t="inlineStr">
        <is>
          <t xml:space="preserve">Total CHF</t>
        </is>
      </c>
    </row>
    <row r="2">
      <c r="A2" s="18" t="inlineStr">
        <is>
          <t xml:space="preserve">Graben · Leitungsgraben 1</t>
        </is>
      </c>
      <c r="B2" s="18" t="inlineStr">
        <is>
          <t xml:space="preserve"> </t>
        </is>
      </c>
      <c r="C2" s="18" t="inlineStr">
        <is>
          <t xml:space="preserve"> </t>
        </is>
      </c>
      <c r="D2" s="18" t="inlineStr">
        <is>
          <t xml:space="preserve"> </t>
        </is>
      </c>
      <c r="E2" s="18" t="inlineStr">
        <is>
          <t xml:space="preserve"> </t>
        </is>
      </c>
      <c r="F2" s="18" t="inlineStr">
        <is>
          <t xml:space="preserve"> </t>
        </is>
      </c>
    </row>
    <row r="3">
      <c r="A3" s="2" t="inlineStr">
        <is>
          <t xml:space="preserve">Belag/Untergrund entfernen</t>
        </is>
      </c>
      <c r="B3" s="2" t="inlineStr">
        <is>
          <t xml:space="preserve"> </t>
        </is>
      </c>
      <c r="C3" s="2" t="inlineStr">
        <is>
          <t xml:space="preserve"> </t>
        </is>
      </c>
      <c r="D3" s="2" t="inlineStr">
        <is>
          <t xml:space="preserve"> </t>
        </is>
      </c>
      <c r="E3" s="2" t="inlineStr">
        <is>
          <t xml:space="preserve"> </t>
        </is>
      </c>
      <c r="F3" s="2" t="inlineStr">
        <is>
          <t xml:space="preserve"> </t>
        </is>
      </c>
    </row>
    <row r="4">
      <c r="A4" s="19" t="inlineStr">
        <is>
          <t xml:space="preserve">117/223.123</t>
        </is>
      </c>
      <c r="B4" s="7" t="inlineStr">
        <is>
          <t xml:space="preserve">Bitumenhaltige Schichten und Betondecken abbrechen. › Schneiden. › Bitumenhaltige Schichten, maschinell, mit Schneidfräse. › Schichtdicke mm 101 bis 150.  ·  2 × (40 + 0.6) = 81.2 m</t>
        </is>
      </c>
      <c r="C4" s="3">
        <v>81.2</v>
      </c>
      <c r="D4" s="0" t="inlineStr">
        <is>
          <t xml:space="preserve">m</t>
        </is>
      </c>
      <c r="E4" s="3">
        <v>11.9</v>
      </c>
      <c r="F4" s="3">
        <f>ROUND(C4*E4,2)</f>
        <v>966.28</v>
      </c>
    </row>
    <row r="5">
      <c r="A5" s="19" t="inlineStr">
        <is>
          <t xml:space="preserve">117/223.213</t>
        </is>
      </c>
      <c r="B5" s="7" t="inlineStr">
        <is>
          <t xml:space="preserve">Bitumenhaltige Schichten und Betondecken abbrechen. › Aufbrechen oder fräsen. › Bitumenhaltige Schichten. › Schichtdicke mm 101 bis 150.  ·  40 × 0.6 = 24 m²</t>
        </is>
      </c>
      <c r="C5" s="3">
        <v>24</v>
      </c>
      <c r="D5" s="0" t="inlineStr">
        <is>
          <t xml:space="preserve">m²</t>
        </is>
      </c>
      <c r="E5" s="3">
        <v>8.9</v>
      </c>
      <c r="F5" s="3">
        <f>ROUND(C5*E5,2)</f>
        <v>213.6</v>
      </c>
    </row>
    <row r="6">
      <c r="A6" s="2" t="inlineStr">
        <is>
          <t xml:space="preserve">Ausbauasphalt: Abtransport und Gebühr</t>
        </is>
      </c>
      <c r="B6" s="2" t="inlineStr">
        <is>
          <t xml:space="preserve"> </t>
        </is>
      </c>
      <c r="C6" s="2" t="inlineStr">
        <is>
          <t xml:space="preserve"> </t>
        </is>
      </c>
      <c r="D6" s="2" t="inlineStr">
        <is>
          <t xml:space="preserve"> </t>
        </is>
      </c>
      <c r="E6" s="2" t="inlineStr">
        <is>
          <t xml:space="preserve"> </t>
        </is>
      </c>
      <c r="F6" s="2" t="inlineStr">
        <is>
          <t xml:space="preserve"> </t>
        </is>
      </c>
    </row>
    <row r="7">
      <c r="A7" s="19" t="inlineStr">
        <is>
          <t xml:space="preserve">117/721.222</t>
        </is>
      </c>
      <c r="B7" s="7" t="inlineStr">
        <is>
          <t xml:space="preserve">Transporte, Ausmass: Masse. Inkl. Ablad, exkl. Bearbeitung und Gebühr… › In Deponie. › In Deponie Typ B nach VVEA. › Ausbauasphalt. PAK-Gehalt bis mg/kg 250.  ·  24 m² × 130 mm × 2.4 t/m³ = 7.49 t</t>
        </is>
      </c>
      <c r="C7" s="3">
        <v>7.49</v>
      </c>
      <c r="D7" s="0" t="inlineStr">
        <is>
          <t xml:space="preserve">t</t>
        </is>
      </c>
      <c r="E7" s="3">
        <v>14.2</v>
      </c>
      <c r="F7" s="3">
        <f>ROUND(C7*E7,2)</f>
        <v>106.36</v>
      </c>
    </row>
    <row r="8">
      <c r="A8" s="19" t="inlineStr">
        <is>
          <t xml:space="preserve">117/731.222</t>
        </is>
      </c>
      <c r="B8" s="7" t="inlineStr">
        <is>
          <t xml:space="preserve">Gebühren für Abgabe von Material, inkl. Bearbeitung. Ausmass: Masse. › In Deponie. › In Deponie Typ B nach VVEA. › Ausbauasphalt. PAK-Gehalt bis mg/kg 250.  ·  24 m² × 130 mm × 2.4 t/m³ = 7.49 t</t>
        </is>
      </c>
      <c r="C8" s="3">
        <v>7.49</v>
      </c>
      <c r="D8" s="0" t="inlineStr">
        <is>
          <t xml:space="preserve">t</t>
        </is>
      </c>
      <c r="E8" s="3">
        <v>79</v>
      </c>
      <c r="F8" s="3">
        <f>ROUND(C8*E8,2)</f>
        <v>591.71</v>
      </c>
    </row>
    <row r="9">
      <c r="A9" s="2" t="inlineStr">
        <is>
          <t xml:space="preserve">Aushub</t>
        </is>
      </c>
      <c r="B9" s="2" t="inlineStr">
        <is>
          <t xml:space="preserve"> </t>
        </is>
      </c>
      <c r="C9" s="2" t="inlineStr">
        <is>
          <t xml:space="preserve"> </t>
        </is>
      </c>
      <c r="D9" s="2" t="inlineStr">
        <is>
          <t xml:space="preserve"> </t>
        </is>
      </c>
      <c r="E9" s="2" t="inlineStr">
        <is>
          <t xml:space="preserve"> </t>
        </is>
      </c>
      <c r="F9" s="2" t="inlineStr">
        <is>
          <t xml:space="preserve"> </t>
        </is>
      </c>
    </row>
    <row r="10">
      <c r="A10" s="19" t="inlineStr">
        <is>
          <t xml:space="preserve">151/221.111</t>
        </is>
      </c>
      <c r="B10" s="7" t="inlineStr">
        <is>
          <t xml:space="preserve">U- und V-Gräben ausheben. Abbauklassen 2 bis 4. › Maschinell. › Keine Behinderung durch Spriessung. › t bis m 1,50.  ·  40 × 0.6 × 0.6 = 14.4 m³ × 90 % = 12.96 m³</t>
        </is>
      </c>
      <c r="C10" s="3">
        <v>12.96</v>
      </c>
      <c r="D10" s="0" t="inlineStr">
        <is>
          <t xml:space="preserve">m³</t>
        </is>
      </c>
      <c r="E10" s="3">
        <v>26.5</v>
      </c>
      <c r="F10" s="3">
        <f>ROUND(C10*E10,2)</f>
        <v>343.44</v>
      </c>
    </row>
    <row r="11">
      <c r="A11" s="19" t="inlineStr">
        <is>
          <t xml:space="preserve">151/221.211</t>
        </is>
      </c>
      <c r="B11" s="7" t="inlineStr">
        <is>
          <t xml:space="preserve">U- und V-Gräben ausheben. Abbauklassen 2 bis 4. › Von Hand. › Keine Behinderung durch Spriessung. › t bis m 1,50.  ·  40 × 0.6 × 0.6 = 14.4 m³ × 10 % = 1.44 m³</t>
        </is>
      </c>
      <c r="C11" s="3">
        <v>1.44</v>
      </c>
      <c r="D11" s="0" t="inlineStr">
        <is>
          <t xml:space="preserve">m³</t>
        </is>
      </c>
      <c r="E11" s="3">
        <v>100.1</v>
      </c>
      <c r="F11" s="3">
        <f>ROUND(C11*E11,2)</f>
        <v>144.14</v>
      </c>
    </row>
    <row r="12">
      <c r="A12" s="2" t="inlineStr">
        <is>
          <t xml:space="preserve">Leitungszone</t>
        </is>
      </c>
      <c r="B12" s="2" t="inlineStr">
        <is>
          <t xml:space="preserve"> </t>
        </is>
      </c>
      <c r="C12" s="2" t="inlineStr">
        <is>
          <t xml:space="preserve"> </t>
        </is>
      </c>
      <c r="D12" s="2" t="inlineStr">
        <is>
          <t xml:space="preserve"> </t>
        </is>
      </c>
      <c r="E12" s="2" t="inlineStr">
        <is>
          <t xml:space="preserve"> </t>
        </is>
      </c>
      <c r="F12" s="2" t="inlineStr">
        <is>
          <t xml:space="preserve"> </t>
        </is>
      </c>
    </row>
    <row r="13">
      <c r="A13" s="19" t="inlineStr">
        <is>
          <t xml:space="preserve">151/711.123</t>
        </is>
      </c>
      <c r="B13" s="7" t="inlineStr">
        <is>
          <t xml:space="preserve">Natürliche Gesteinskörnungen liefern, zur Verwendungsstelle oder in Z… › Ausmass: Volumen lose. › Gesteinskörnungen nach Norm SN EN 12 620. › Betonkies 0/16.  ·  40 m × 0.035 m²/m = 1.4 m³</t>
        </is>
      </c>
      <c r="C13" s="3">
        <v>1.4</v>
      </c>
      <c r="D13" s="0" t="inlineStr">
        <is>
          <t xml:space="preserve">m³</t>
        </is>
      </c>
      <c r="E13" s="3">
        <v>78.6</v>
      </c>
      <c r="F13" s="3">
        <f>ROUND(C13*E13,2)</f>
        <v>110.04</v>
      </c>
    </row>
    <row r="14">
      <c r="A14" s="19" t="inlineStr">
        <is>
          <t xml:space="preserve">151/721.101</t>
        </is>
      </c>
      <c r="B14" s="7" t="inlineStr">
        <is>
          <t xml:space="preserve">Material für Bettung, Verdämmung und Abdeckung der Leitungszonen einb… › Ausmass: Volumen lose. › Natürliche oder rezyklierte Gesteinskörnungen, exkl. Lieferung.  ·  40 m × 0.035 m²/m = 1.4 m³</t>
        </is>
      </c>
      <c r="C14" s="3">
        <v>1.4</v>
      </c>
      <c r="D14" s="0" t="inlineStr">
        <is>
          <t xml:space="preserve">m³</t>
        </is>
      </c>
      <c r="E14" s="3">
        <v>23</v>
      </c>
      <c r="F14" s="3">
        <f>ROUND(C14*E14,2)</f>
        <v>32.2</v>
      </c>
    </row>
    <row r="15">
      <c r="A15" s="2" t="inlineStr">
        <is>
          <t xml:space="preserve">Rohranlage</t>
        </is>
      </c>
      <c r="B15" s="2" t="inlineStr">
        <is>
          <t xml:space="preserve"> </t>
        </is>
      </c>
      <c r="C15" s="2" t="inlineStr">
        <is>
          <t xml:space="preserve"> </t>
        </is>
      </c>
      <c r="D15" s="2" t="inlineStr">
        <is>
          <t xml:space="preserve"> </t>
        </is>
      </c>
      <c r="E15" s="2" t="inlineStr">
        <is>
          <t xml:space="preserve"> </t>
        </is>
      </c>
      <c r="F15" s="2" t="inlineStr">
        <is>
          <t xml:space="preserve"> </t>
        </is>
      </c>
    </row>
    <row r="16">
      <c r="A16" s="19" t="inlineStr">
        <is>
          <t xml:space="preserve">151/412.211</t>
        </is>
      </c>
      <c r="B16" s="7" t="inlineStr">
        <is>
          <t xml:space="preserve">Kabelschutzrohre aus PE-HD liefern, C+S. › Rohrlänge m 10. › Mit STM, inkl. Dichtungen. › DN/ID 55.  ·  40 m × 1 Rohr(e) = 40 m</t>
        </is>
      </c>
      <c r="C16" s="3">
        <v>40</v>
      </c>
      <c r="D16" s="0" t="inlineStr">
        <is>
          <t xml:space="preserve">m</t>
        </is>
      </c>
      <c r="E16" s="3">
        <v>2.7</v>
      </c>
      <c r="F16" s="3">
        <f>ROUND(C16*E16,2)</f>
        <v>108</v>
      </c>
    </row>
    <row r="17">
      <c r="A17" s="19" t="inlineStr">
        <is>
          <t xml:space="preserve">151/431.001</t>
        </is>
      </c>
      <c r="B17" s="7" t="inlineStr">
        <is>
          <t xml:space="preserve">Kabelschutzrohre in Stangen oder ab Rollen verlegen und dichten. › Bis DN/ID 60.  ·  40 m × 1 Rohr(e) = 40 m</t>
        </is>
      </c>
      <c r="C17" s="3">
        <v>40</v>
      </c>
      <c r="D17" s="0" t="inlineStr">
        <is>
          <t xml:space="preserve">m</t>
        </is>
      </c>
      <c r="E17" s="3">
        <v>3.4</v>
      </c>
      <c r="F17" s="3">
        <f>ROUND(C17*E17,2)</f>
        <v>136</v>
      </c>
    </row>
    <row r="18">
      <c r="A18" s="19" t="inlineStr">
        <is>
          <t xml:space="preserve">151/421.511</t>
        </is>
      </c>
      <c r="B18" s="7" t="inlineStr">
        <is>
          <t xml:space="preserve">Formstücke liefern (1). › Muffen (1). › Doppelsteckmuffen. Inkl. Dichtungen. › DN/ID 55.  ·  ⌈40 / 5⌉ × 1 = 8 St</t>
        </is>
      </c>
      <c r="C18" s="3">
        <v>8</v>
      </c>
      <c r="D18" s="0" t="inlineStr">
        <is>
          <t xml:space="preserve">St</t>
        </is>
      </c>
      <c r="E18" s="3">
        <v>5.2</v>
      </c>
      <c r="F18" s="3">
        <f>ROUND(C18*E18,2)</f>
        <v>41.6</v>
      </c>
    </row>
    <row r="19">
      <c r="A19" s="19" t="inlineStr">
        <is>
          <t xml:space="preserve">151/442.111</t>
        </is>
      </c>
      <c r="B19" s="7" t="inlineStr">
        <is>
          <t xml:space="preserve">Mehrleistungen zum Verlegen von Muffen zu Kabelschutzrohren. › Muffen (1). › Doppelsteckmuffen. › DN/ID 55.  ·  ⌈40 / 5⌉ × 1 = 8 St</t>
        </is>
      </c>
      <c r="C19" s="3">
        <v>8</v>
      </c>
      <c r="D19" s="0" t="inlineStr">
        <is>
          <t xml:space="preserve">St</t>
        </is>
      </c>
      <c r="E19" s="3">
        <v>5.5</v>
      </c>
      <c r="F19" s="3">
        <f>ROUND(C19*E19,2)</f>
        <v>44</v>
      </c>
    </row>
    <row r="20">
      <c r="A20" s="19" t="inlineStr">
        <is>
          <t xml:space="preserve">151/484.111</t>
        </is>
      </c>
      <c r="B20" s="7" t="inlineStr">
        <is>
          <t xml:space="preserve">Bänder und Netze. › Bänder und Netze liefern. › Warnbänder. › Typ Warnband für Kabelanlagen  ·  Grabenlänge = 40 m</t>
        </is>
      </c>
      <c r="C20" s="3">
        <v>40</v>
      </c>
      <c r="D20" s="0" t="inlineStr">
        <is>
          <t xml:space="preserve">m</t>
        </is>
      </c>
      <c r="E20" s="3">
        <v>0.1</v>
      </c>
      <c r="F20" s="3">
        <f>ROUND(C20*E20,2)</f>
        <v>4</v>
      </c>
    </row>
    <row r="21">
      <c r="A21" s="19" t="inlineStr">
        <is>
          <t xml:space="preserve">151/484.211</t>
        </is>
      </c>
      <c r="B21" s="7" t="inlineStr">
        <is>
          <t xml:space="preserve">Bänder und Netze. › Bänder und Netze verlegen. › Warnbänder. › Typ Warnband für Kabelanlagen  ·  Grabenlänge = 40 m</t>
        </is>
      </c>
      <c r="C21" s="3">
        <v>40</v>
      </c>
      <c r="D21" s="0" t="inlineStr">
        <is>
          <t xml:space="preserve">m</t>
        </is>
      </c>
      <c r="E21" s="3">
        <v>0.5</v>
      </c>
      <c r="F21" s="3">
        <f>ROUND(C21*E21,2)</f>
        <v>20</v>
      </c>
    </row>
    <row r="22">
      <c r="A22" s="19" t="inlineStr">
        <is>
          <t xml:space="preserve">151/485.004</t>
        </is>
      </c>
      <c r="B22" s="7" t="inlineStr">
        <is>
          <t xml:space="preserve">Kalibrieren von verlegten Rohren. › DN/ID 55  ·  40 m × 1 Rohr(e) = 40 m</t>
        </is>
      </c>
      <c r="C22" s="3">
        <v>40</v>
      </c>
      <c r="D22" s="0" t="inlineStr">
        <is>
          <t xml:space="preserve">m</t>
        </is>
      </c>
      <c r="E22" s="3">
        <v>1.5</v>
      </c>
      <c r="F22" s="3">
        <f>ROUND(C22*E22,2)</f>
        <v>60</v>
      </c>
    </row>
    <row r="23">
      <c r="A23" s="19" t="inlineStr">
        <is>
          <t xml:space="preserve">151/486.001</t>
        </is>
      </c>
      <c r="B23" s="7" t="inlineStr">
        <is>
          <t xml:space="preserve">Schnüre in Rohre einlegen, einziehen oder einblasen und an beiden End… › Inkl. Lieferung.  ·  40 m × 1 Rohr(e) = 40 m</t>
        </is>
      </c>
      <c r="C23" s="3">
        <v>40</v>
      </c>
      <c r="D23" s="0" t="inlineStr">
        <is>
          <t xml:space="preserve">m</t>
        </is>
      </c>
      <c r="E23" s="3">
        <v>1.5</v>
      </c>
      <c r="F23" s="3">
        <f>ROUND(C23*E23,2)</f>
        <v>60</v>
      </c>
    </row>
    <row r="24">
      <c r="A24" s="2" t="inlineStr">
        <is>
          <t xml:space="preserve">Verfüllung</t>
        </is>
      </c>
      <c r="B24" s="2" t="inlineStr">
        <is>
          <t xml:space="preserve"> </t>
        </is>
      </c>
      <c r="C24" s="2" t="inlineStr">
        <is>
          <t xml:space="preserve"> </t>
        </is>
      </c>
      <c r="D24" s="2" t="inlineStr">
        <is>
          <t xml:space="preserve"> </t>
        </is>
      </c>
      <c r="E24" s="2" t="inlineStr">
        <is>
          <t xml:space="preserve"> </t>
        </is>
      </c>
      <c r="F24" s="2" t="inlineStr">
        <is>
          <t xml:space="preserve"> </t>
        </is>
      </c>
    </row>
    <row r="25">
      <c r="A25" s="19" t="inlineStr">
        <is>
          <t xml:space="preserve">151/741.111</t>
        </is>
      </c>
      <c r="B25" s="7" t="inlineStr">
        <is>
          <t xml:space="preserve">Seitlich zwischengelagertes oder zugeführtes Material einfüllen. › Ausmass: Volumen lose. › Maschinell. › Aushubmaterial.  ·  min(Erdaushub 11.28; Bedarf 9.88) = 9.88 m³</t>
        </is>
      </c>
      <c r="C25" s="3">
        <v>9.88</v>
      </c>
      <c r="D25" s="0" t="inlineStr">
        <is>
          <t xml:space="preserve">m³</t>
        </is>
      </c>
      <c r="E25" s="3">
        <v>15</v>
      </c>
      <c r="F25" s="3">
        <f>ROUND(C25*E25,2)</f>
        <v>148.2</v>
      </c>
    </row>
    <row r="26">
      <c r="A26" s="2" t="inlineStr">
        <is>
          <t xml:space="preserve">Überschuss: Aufladen, Abtransport, Gebühr</t>
        </is>
      </c>
      <c r="B26" s="2" t="inlineStr">
        <is>
          <t xml:space="preserve"> </t>
        </is>
      </c>
      <c r="C26" s="2" t="inlineStr">
        <is>
          <t xml:space="preserve"> </t>
        </is>
      </c>
      <c r="D26" s="2" t="inlineStr">
        <is>
          <t xml:space="preserve"> </t>
        </is>
      </c>
      <c r="E26" s="2" t="inlineStr">
        <is>
          <t xml:space="preserve"> </t>
        </is>
      </c>
      <c r="F26" s="2" t="inlineStr">
        <is>
          <t xml:space="preserve"> </t>
        </is>
      </c>
    </row>
    <row r="27">
      <c r="A27" s="19" t="inlineStr">
        <is>
          <t xml:space="preserve">151/273.203</t>
        </is>
      </c>
      <c r="B27" s="7" t="inlineStr">
        <is>
          <t xml:space="preserve">Aufladen von Material ab bauseits angeordnetem Zwischenlager. › Maschinell. Ausmass: Volumen fest. › Aushubmaterial.  ·  Erdaushub 11.28 − wiederverwendet 9.88 = 1.4 m³</t>
        </is>
      </c>
      <c r="C27" s="3">
        <v>1.4</v>
      </c>
      <c r="D27" s="0" t="inlineStr">
        <is>
          <t xml:space="preserve">m³</t>
        </is>
      </c>
      <c r="E27" s="3">
        <v>6.45</v>
      </c>
      <c r="F27" s="3">
        <f>ROUND(C27*E27,2)</f>
        <v>9.03</v>
      </c>
    </row>
    <row r="28">
      <c r="A28" s="19" t="inlineStr">
        <is>
          <t xml:space="preserve">151/252.213</t>
        </is>
      </c>
      <c r="B28" s="7" t="inlineStr">
        <is>
          <t xml:space="preserve">Transporte inner- und ausserhalb Baustelle, inkl. Ablad. Ausmass: Vol… › In Deponie, exkl. Gebühren. › Klassierung nach VVEA. Deponie Typ A. › Aushubmaterial.  ·  Erdaushub 11.28 − wiederverwendet 9.88 = 1.4 m³</t>
        </is>
      </c>
      <c r="C28" s="3">
        <v>1.4</v>
      </c>
      <c r="D28" s="0" t="inlineStr">
        <is>
          <t xml:space="preserve">m³</t>
        </is>
      </c>
      <c r="E28" s="3">
        <v>32.6</v>
      </c>
      <c r="F28" s="3">
        <f>ROUND(C28*E28,2)</f>
        <v>45.64</v>
      </c>
    </row>
    <row r="29">
      <c r="A29" s="19" t="inlineStr">
        <is>
          <t xml:space="preserve">151/262.113</t>
        </is>
      </c>
      <c r="B29" s="7" t="inlineStr">
        <is>
          <t xml:space="preserve">Gebühren für Abgabe von Material in Deponie. Ausmass: Volumen fest. › In Deponie Unternehmer. › Klassierung nach VVEA. Deponie Typ A. › Aushubmaterial.  ·  Erdaushub 11.28 − wiederverwendet 9.88 = 1.4 m³</t>
        </is>
      </c>
      <c r="C29" s="3">
        <v>1.4</v>
      </c>
      <c r="D29" s="0" t="inlineStr">
        <is>
          <t xml:space="preserve">m³</t>
        </is>
      </c>
      <c r="E29" s="3">
        <v>33.7</v>
      </c>
      <c r="F29" s="3">
        <f>ROUND(C29*E29,2)</f>
        <v>47.18</v>
      </c>
    </row>
    <row r="30">
      <c r="A30" s="2" t="inlineStr">
        <is>
          <t xml:space="preserve">Belag/Oberfläche neu</t>
        </is>
      </c>
      <c r="B30" s="2" t="inlineStr">
        <is>
          <t xml:space="preserve"> </t>
        </is>
      </c>
      <c r="C30" s="2" t="inlineStr">
        <is>
          <t xml:space="preserve"> </t>
        </is>
      </c>
      <c r="D30" s="2" t="inlineStr">
        <is>
          <t xml:space="preserve"> </t>
        </is>
      </c>
      <c r="E30" s="2" t="inlineStr">
        <is>
          <t xml:space="preserve"> </t>
        </is>
      </c>
      <c r="F30" s="2" t="inlineStr">
        <is>
          <t xml:space="preserve"> </t>
        </is>
      </c>
    </row>
    <row r="31">
      <c r="A31" s="19" t="inlineStr">
        <is>
          <t xml:space="preserve">223/422.101</t>
        </is>
      </c>
      <c r="B31" s="7" t="inlineStr">
        <is>
          <t xml:space="preserve">Haftvermittler aufbringen. › Geeignetes Produkt auf die Unterlage aufbringen, zur Gewähr… › Haftvermittler Typ HCB4.  ·  40 × 0.6 = 24 m²</t>
        </is>
      </c>
      <c r="C31" s="3">
        <v>24</v>
      </c>
      <c r="D31" s="0" t="inlineStr">
        <is>
          <t xml:space="preserve">m²</t>
        </is>
      </c>
      <c r="E31" s="3">
        <v>2</v>
      </c>
      <c r="F31" s="3">
        <f>ROUND(C31*E31,2)</f>
        <v>48</v>
      </c>
    </row>
    <row r="32">
      <c r="A32" s="19" t="inlineStr">
        <is>
          <t xml:space="preserve">223/444.131</t>
        </is>
      </c>
      <c r="B32" s="7" t="inlineStr">
        <is>
          <t xml:space="preserve">Mischgut Typ N für Anpassungen, Vorplätze, Zugänge und dgl. liefern,… › Tragschichten AC T Typ N. Ausmass: Masse. › AC T 22 N. › d mm bis 90  ·  24 m² × 90 mm × 2.4 t/m³ = 5.18 t</t>
        </is>
      </c>
      <c r="C32" s="3">
        <v>5.18</v>
      </c>
      <c r="D32" s="0" t="inlineStr">
        <is>
          <t xml:space="preserve">t</t>
        </is>
      </c>
      <c r="E32" s="3">
        <v>189</v>
      </c>
      <c r="F32" s="3">
        <f>ROUND(C32*E32,2)</f>
        <v>979.02</v>
      </c>
    </row>
    <row r="33">
      <c r="A33" s="19" t="inlineStr">
        <is>
          <t xml:space="preserve">223/444.211</t>
        </is>
      </c>
      <c r="B33" s="7" t="inlineStr">
        <is>
          <t xml:space="preserve">Mischgut Typ N für Anpassungen, Vorplätze, Zugänge und dgl. liefern,… › Deckschichten AC Typ N. Ausmass: Masse. › AC 8 N. › d mm bis 40  ·  24 m² × 40 mm × 2.4 t/m³ = 2.3 t</t>
        </is>
      </c>
      <c r="C33" s="3">
        <v>2.3</v>
      </c>
      <c r="D33" s="0" t="inlineStr">
        <is>
          <t xml:space="preserve">t</t>
        </is>
      </c>
      <c r="E33" s="3">
        <v>278</v>
      </c>
      <c r="F33" s="3">
        <f>ROUND(C33*E33,2)</f>
        <v>639.4</v>
      </c>
    </row>
    <row r="34">
      <c r="A34" s="19" t="inlineStr">
        <is>
          <t xml:space="preserve">223/423.213</t>
        </is>
      </c>
      <c r="B34" s="7" t="inlineStr">
        <is>
          <t xml:space="preserve">Längs- und Quernähte ausbilden. › Schnittfläche anstreichen, inkl. vorheriges Reinigen. Inkl.… › Heissbitumen. › Schichtdicke mm 81 bis 130.  ·  2 × (40 + 0.6) = 81.2 m</t>
        </is>
      </c>
      <c r="C34" s="3">
        <v>81.2</v>
      </c>
      <c r="D34" s="0" t="inlineStr">
        <is>
          <t xml:space="preserve">m</t>
        </is>
      </c>
      <c r="E34" s="3">
        <v>3.9</v>
      </c>
      <c r="F34" s="3">
        <f>ROUND(C34*E34,2)</f>
        <v>316.68</v>
      </c>
    </row>
    <row r="35">
      <c r="A35" s="19" t="inlineStr">
        <is>
          <t xml:space="preserve">223/424.113</t>
        </is>
      </c>
      <c r="B35" s="7" t="inlineStr">
        <is>
          <t xml:space="preserve">Anschlussflächen behandeln, z.B. bei Stossverbindungen, Fahrbahnüberg… › Anschlussfläche anstreichen, inkl. vorheriges Reinigen. › Heissbitumen. › Schichtdicke mm 81 bis 130.  ·  2 × (40 + 0.6) = 81.2 m</t>
        </is>
      </c>
      <c r="C35" s="3">
        <v>81.2</v>
      </c>
      <c r="D35" s="0" t="inlineStr">
        <is>
          <t xml:space="preserve">m</t>
        </is>
      </c>
      <c r="E35" s="3">
        <v>4.5</v>
      </c>
      <c r="F35" s="3">
        <f>ROUND(C35*E35,2)</f>
        <v>365.4</v>
      </c>
    </row>
    <row r="36">
      <c r="A36" s="19" t="inlineStr">
        <is>
          <t xml:space="preserve">223/571.101</t>
        </is>
      </c>
      <c r="B36" s="7" t="inlineStr">
        <is>
          <t xml:space="preserve">Deckschichtränder abschneiden entlang von Randabschlüssen und bei Ein… › Ränder abschneiden von Hand oder maschinell, inkl. Aufladen… › Randabschlüsse.  ·  2 × (40 + 0.6) = 81.2 m</t>
        </is>
      </c>
      <c r="C36" s="3">
        <v>81.2</v>
      </c>
      <c r="D36" s="0" t="inlineStr">
        <is>
          <t xml:space="preserve">m</t>
        </is>
      </c>
      <c r="E36" s="3">
        <v>4</v>
      </c>
      <c r="F36" s="3">
        <f>ROUND(C36*E36,2)</f>
        <v>324.8</v>
      </c>
    </row>
    <row r="37">
      <c r="A37" s="2" t="inlineStr">
        <is>
          <t xml:space="preserve">Fremdleitungen</t>
        </is>
      </c>
      <c r="B37" s="2" t="inlineStr">
        <is>
          <t xml:space="preserve"> </t>
        </is>
      </c>
      <c r="C37" s="2" t="inlineStr">
        <is>
          <t xml:space="preserve"> </t>
        </is>
      </c>
      <c r="D37" s="2" t="inlineStr">
        <is>
          <t xml:space="preserve"> </t>
        </is>
      </c>
      <c r="E37" s="2" t="inlineStr">
        <is>
          <t xml:space="preserve"> </t>
        </is>
      </c>
      <c r="F37" s="2" t="inlineStr">
        <is>
          <t xml:space="preserve"> </t>
        </is>
      </c>
    </row>
    <row r="38">
      <c r="A38" s="19" t="inlineStr">
        <is>
          <t xml:space="preserve">151/241.002</t>
        </is>
      </c>
      <c r="B38" s="7" t="inlineStr">
        <is>
          <t xml:space="preserve">Mehrleistungen bei Behinderungen durch Leitungen. › Quer zu Gräben und Gruben.  ·  1 × 1 m = 1 m</t>
        </is>
      </c>
      <c r="C38" s="3">
        <v>1</v>
      </c>
      <c r="D38" s="0" t="inlineStr">
        <is>
          <t xml:space="preserve">m</t>
        </is>
      </c>
      <c r="E38" s="3">
        <v>11.3</v>
      </c>
      <c r="F38" s="3">
        <f>ROUND(C38*E38,2)</f>
        <v>11.3</v>
      </c>
    </row>
    <row r="39">
      <c r="A39" s="19" t="inlineStr">
        <is>
          <t xml:space="preserve">151/242.002</t>
        </is>
      </c>
      <c r="B39" s="7" t="inlineStr">
        <is>
          <t xml:space="preserve">Mehrleistungen für Sichern und Schützen von Leitungen. › Quer zu Gräben und Gruben.  ·  1 × 1 m = 1 m</t>
        </is>
      </c>
      <c r="C39" s="3">
        <v>1</v>
      </c>
      <c r="D39" s="0" t="inlineStr">
        <is>
          <t xml:space="preserve">m</t>
        </is>
      </c>
      <c r="E39" s="3">
        <v>10.8</v>
      </c>
      <c r="F39" s="3">
        <f>ROUND(C39*E39,2)</f>
        <v>10.8</v>
      </c>
    </row>
    <row r="40">
      <c r="A40" s="16" t="inlineStr">
        <is>
          <t xml:space="preserve">Summe Element</t>
        </is>
      </c>
      <c r="B40" s="16" t="inlineStr">
        <is>
          <t xml:space="preserve"> </t>
        </is>
      </c>
      <c r="C40" s="16" t="inlineStr">
        <is>
          <t xml:space="preserve"> </t>
        </is>
      </c>
      <c r="D40" s="16" t="inlineStr">
        <is>
          <t xml:space="preserve"> </t>
        </is>
      </c>
      <c r="E40" s="16" t="inlineStr">
        <is>
          <t xml:space="preserve"> </t>
        </is>
      </c>
      <c r="F40" s="4">
        <f>SUM(F3:F39)</f>
        <v>5926.82</v>
      </c>
    </row>
    <row r="41"/>
    <row r="42">
      <c r="A42" s="18" t="inlineStr">
        <is>
          <t xml:space="preserve">Schacht · Schacht 1</t>
        </is>
      </c>
      <c r="B42" s="18" t="inlineStr">
        <is>
          <t xml:space="preserve"> </t>
        </is>
      </c>
      <c r="C42" s="18" t="inlineStr">
        <is>
          <t xml:space="preserve"> </t>
        </is>
      </c>
      <c r="D42" s="18" t="inlineStr">
        <is>
          <t xml:space="preserve"> </t>
        </is>
      </c>
      <c r="E42" s="18" t="inlineStr">
        <is>
          <t xml:space="preserve"> </t>
        </is>
      </c>
      <c r="F42" s="18" t="inlineStr">
        <is>
          <t xml:space="preserve"> </t>
        </is>
      </c>
    </row>
    <row r="43">
      <c r="A43" s="2" t="inlineStr">
        <is>
          <t xml:space="preserve">Abbruch</t>
        </is>
      </c>
      <c r="B43" s="2" t="inlineStr">
        <is>
          <t xml:space="preserve"> </t>
        </is>
      </c>
      <c r="C43" s="2" t="inlineStr">
        <is>
          <t xml:space="preserve"> </t>
        </is>
      </c>
      <c r="D43" s="2" t="inlineStr">
        <is>
          <t xml:space="preserve"> </t>
        </is>
      </c>
      <c r="E43" s="2" t="inlineStr">
        <is>
          <t xml:space="preserve"> </t>
        </is>
      </c>
      <c r="F43" s="2" t="inlineStr">
        <is>
          <t xml:space="preserve"> </t>
        </is>
      </c>
    </row>
    <row r="44">
      <c r="A44" s="19" t="inlineStr">
        <is>
          <t xml:space="preserve">117/228.301</t>
        </is>
      </c>
      <c r="B44" s="7" t="inlineStr">
        <is>
          <t xml:space="preserve">Schächte, Abläufe, Abdeckungen, Aufsätze, Armaturen und dgl. abbreche… › Rahmen mit Deckeln oder Rosten. › Abbruch Schachtabdeckungen Guss komplett, rund bis NW 800mm inkl. Abtransport und Deponiegebühren  ·  Anzahl = 3 St</t>
        </is>
      </c>
      <c r="C44" s="3">
        <v>3</v>
      </c>
      <c r="D44" s="0" t="inlineStr">
        <is>
          <t xml:space="preserve">St</t>
        </is>
      </c>
      <c r="E44" s="3">
        <v>56</v>
      </c>
      <c r="F44" s="3">
        <f>ROUND(C44*E44,2)</f>
        <v>168</v>
      </c>
    </row>
    <row r="45">
      <c r="A45" s="2" t="inlineStr">
        <is>
          <t xml:space="preserve">Abdeckung</t>
        </is>
      </c>
      <c r="B45" s="2" t="inlineStr">
        <is>
          <t xml:space="preserve"> </t>
        </is>
      </c>
      <c r="C45" s="2" t="inlineStr">
        <is>
          <t xml:space="preserve"> </t>
        </is>
      </c>
      <c r="D45" s="2" t="inlineStr">
        <is>
          <t xml:space="preserve"> </t>
        </is>
      </c>
      <c r="E45" s="2" t="inlineStr">
        <is>
          <t xml:space="preserve"> </t>
        </is>
      </c>
      <c r="F45" s="2" t="inlineStr">
        <is>
          <t xml:space="preserve"> </t>
        </is>
      </c>
    </row>
    <row r="46">
      <c r="A46" s="19" t="inlineStr">
        <is>
          <t xml:space="preserve">151/632.131</t>
        </is>
      </c>
      <c r="B46" s="7" t="inlineStr">
        <is>
          <t xml:space="preserve">Abdeckungen. › Abdeckplatten und Schachtabdeckungen liefern (franko Baustelle). › Rahmen mit Betonuntersatz System DS VR o. Deckel Lieferant HGC Artikel Nr. 1373513  ·  1 × 3 = 3 St  ·  Art. 137.351.3</t>
        </is>
      </c>
      <c r="C46" s="3">
        <v>3</v>
      </c>
      <c r="D46" s="0" t="inlineStr">
        <is>
          <t xml:space="preserve">St</t>
        </is>
      </c>
      <c r="E46" s="3">
        <v>358</v>
      </c>
      <c r="F46" s="3">
        <f>ROUND(C46*E46,2)</f>
        <v>1074</v>
      </c>
    </row>
    <row r="47">
      <c r="A47" s="19" t="inlineStr">
        <is>
          <t xml:space="preserve">151/632.231</t>
        </is>
      </c>
      <c r="B47" s="7" t="inlineStr">
        <is>
          <t xml:space="preserve">Abdeckungen. › Abdeckplatten und Schachtabdeckungen auf definitive Höhe versetzen, inkl. Material für Auflager und Befestigung. › Rahmen mit Betonuntersatz System DS VR o. Deckel Lieferant HGC Artikel Nr. 1373513  ·  1 × 3 = 3 St  ·  Art. 137.351.3</t>
        </is>
      </c>
      <c r="C47" s="3">
        <v>3</v>
      </c>
      <c r="D47" s="0" t="inlineStr">
        <is>
          <t xml:space="preserve">St</t>
        </is>
      </c>
      <c r="E47" s="3">
        <v>174</v>
      </c>
      <c r="F47" s="3">
        <f>ROUND(C47*E47,2)</f>
        <v>522</v>
      </c>
    </row>
    <row r="48">
      <c r="A48" s="19" t="inlineStr">
        <is>
          <t xml:space="preserve">151/632.136</t>
        </is>
      </c>
      <c r="B48" s="7" t="inlineStr">
        <is>
          <t xml:space="preserve">Abdeckungen. › Abdeckplatten und Schachtabdeckungen liefern (franko Baustelle). › Vollgussdeckel nicht schliessbar System DS400 Lieferant HGC Artikel Nr. 1373547  ·  1 × 3 = 3 St  ·  Art. 137.354.7</t>
        </is>
      </c>
      <c r="C48" s="3">
        <v>3</v>
      </c>
      <c r="D48" s="0" t="inlineStr">
        <is>
          <t xml:space="preserve">St</t>
        </is>
      </c>
      <c r="E48" s="3">
        <v>181</v>
      </c>
      <c r="F48" s="3">
        <f>ROUND(C48*E48,2)</f>
        <v>543</v>
      </c>
    </row>
    <row r="49">
      <c r="A49" s="19" t="inlineStr">
        <is>
          <t xml:space="preserve">151/632.236</t>
        </is>
      </c>
      <c r="B49" s="7" t="inlineStr">
        <is>
          <t xml:space="preserve">Abdeckungen. › Abdeckplatten und Schachtabdeckungen auf definitive Höhe versetzen, inkl. Material für Auflager und Befestigung. › Vollgussdeckel nicht schliessbar System DS400 Lieferant HGC Artikel Nr. 1373547  ·  1 × 3 = 3 St  ·  Art. 137.354.7</t>
        </is>
      </c>
      <c r="C49" s="3">
        <v>3</v>
      </c>
      <c r="D49" s="0" t="inlineStr">
        <is>
          <t xml:space="preserve">St</t>
        </is>
      </c>
      <c r="E49" s="3">
        <v>85</v>
      </c>
      <c r="F49" s="3">
        <f>ROUND(C49*E49,2)</f>
        <v>255</v>
      </c>
    </row>
    <row r="50">
      <c r="A50" s="16" t="inlineStr">
        <is>
          <t xml:space="preserve">Summe Element</t>
        </is>
      </c>
      <c r="B50" s="16" t="inlineStr">
        <is>
          <t xml:space="preserve"> </t>
        </is>
      </c>
      <c r="C50" s="16" t="inlineStr">
        <is>
          <t xml:space="preserve"> </t>
        </is>
      </c>
      <c r="D50" s="16" t="inlineStr">
        <is>
          <t xml:space="preserve"> </t>
        </is>
      </c>
      <c r="E50" s="16" t="inlineStr">
        <is>
          <t xml:space="preserve"> </t>
        </is>
      </c>
      <c r="F50" s="4">
        <f>SUM(F43:F49)</f>
        <v>2562</v>
      </c>
    </row>
    <row r="51"/>
    <row r="52">
      <c r="A52" s="18" t="inlineStr">
        <is>
          <t xml:space="preserve">Baustelleneinrichtung</t>
        </is>
      </c>
      <c r="B52" s="18" t="inlineStr">
        <is>
          <t xml:space="preserve"> </t>
        </is>
      </c>
      <c r="C52" s="18" t="inlineStr">
        <is>
          <t xml:space="preserve"> </t>
        </is>
      </c>
      <c r="D52" s="18" t="inlineStr">
        <is>
          <t xml:space="preserve"> </t>
        </is>
      </c>
      <c r="E52" s="18" t="inlineStr">
        <is>
          <t xml:space="preserve"> </t>
        </is>
      </c>
      <c r="F52" s="18" t="inlineStr">
        <is>
          <t xml:space="preserve"> </t>
        </is>
      </c>
    </row>
    <row r="53">
      <c r="A53" s="2" t="inlineStr">
        <is>
          <t xml:space="preserve">Baustelleneinrichtung</t>
        </is>
      </c>
      <c r="B53" s="2" t="inlineStr">
        <is>
          <t xml:space="preserve"> </t>
        </is>
      </c>
      <c r="C53" s="2" t="inlineStr">
        <is>
          <t xml:space="preserve"> </t>
        </is>
      </c>
      <c r="D53" s="2" t="inlineStr">
        <is>
          <t xml:space="preserve"> </t>
        </is>
      </c>
      <c r="E53" s="2" t="inlineStr">
        <is>
          <t xml:space="preserve"> </t>
        </is>
      </c>
      <c r="F53" s="2" t="inlineStr">
        <is>
          <t xml:space="preserve"> </t>
        </is>
      </c>
    </row>
    <row r="54">
      <c r="A54" s="19" t="inlineStr">
        <is>
          <t xml:space="preserve">113/111.002</t>
        </is>
      </c>
      <c r="B54" s="7" t="inlineStr">
        <is>
          <t xml:space="preserve">Gesamte Baustelleneinrichtung › Dauer : Für die Dauer der Leistungen des Unternehmers Anteil Baustelleneinrichtung während der Ausführung sämtlicher Arbeiten der Swisscom AG  ·  5 % × 8488.82 = 424.44</t>
        </is>
      </c>
      <c r="C54" s="3">
        <v>1</v>
      </c>
      <c r="D54" s="0" t="inlineStr">
        <is>
          <t xml:space="preserve">Pauschal</t>
        </is>
      </c>
      <c r="E54" s="3">
        <v>424.44</v>
      </c>
      <c r="F54" s="3">
        <f>ROUND(C54*E54,2)</f>
        <v>424.44</v>
      </c>
    </row>
    <row r="55">
      <c r="A55" s="16" t="inlineStr">
        <is>
          <t xml:space="preserve">Summe Element</t>
        </is>
      </c>
      <c r="B55" s="16" t="inlineStr">
        <is>
          <t xml:space="preserve"> </t>
        </is>
      </c>
      <c r="C55" s="16" t="inlineStr">
        <is>
          <t xml:space="preserve"> </t>
        </is>
      </c>
      <c r="D55" s="16" t="inlineStr">
        <is>
          <t xml:space="preserve"> </t>
        </is>
      </c>
      <c r="E55" s="16" t="inlineStr">
        <is>
          <t xml:space="preserve"> </t>
        </is>
      </c>
      <c r="F55" s="4">
        <f>SUM(F53:F54)</f>
        <v>424.44</v>
      </c>
    </row>
    <row r="56"/>
  </sheetData>
  <pageMargins left="0.5" right="0.5" top="0.6" bottom="0.6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 showGridLines="0">
      <pane ySplit="1" topLeftCell="A2" activePane="bottomLeft" state="frozen"/>
    </sheetView>
  </sheetViews>
  <sheetFormatPr defaultRowHeight="15"/>
  <cols>
    <col min="1" max="1" width="14" customWidth="1"/>
    <col min="2" max="2" width="88" customWidth="1"/>
    <col min="3" max="3" width="11" customWidth="1"/>
    <col min="4" max="4" width="7" customWidth="1"/>
    <col min="5" max="5" width="11" customWidth="1"/>
    <col min="6" max="6" width="13" customWidth="1"/>
  </cols>
  <sheetData>
    <row r="1">
      <c r="A1" s="1" t="inlineStr">
        <is>
          <t xml:space="preserve">NPK-Pos.</t>
        </is>
      </c>
      <c r="B1" s="1" t="inlineStr">
        <is>
          <t xml:space="preserve">Text</t>
        </is>
      </c>
      <c r="C1" s="1" t="inlineStr">
        <is>
          <t xml:space="preserve">Menge</t>
        </is>
      </c>
      <c r="D1" s="1" t="inlineStr">
        <is>
          <t xml:space="preserve">Einh.</t>
        </is>
      </c>
      <c r="E1" s="1" t="inlineStr">
        <is>
          <t xml:space="preserve">EP CHF</t>
        </is>
      </c>
      <c r="F1" s="1" t="inlineStr">
        <is>
          <t xml:space="preserve">Total CHF</t>
        </is>
      </c>
    </row>
    <row r="2">
      <c r="A2" s="2" t="inlineStr">
        <is>
          <t xml:space="preserve">NPK 113 · Baustelleneinrichtung</t>
        </is>
      </c>
      <c r="B2" s="2" t="inlineStr">
        <is>
          <t xml:space="preserve"> </t>
        </is>
      </c>
      <c r="C2" s="2" t="inlineStr">
        <is>
          <t xml:space="preserve"> </t>
        </is>
      </c>
      <c r="D2" s="2" t="inlineStr">
        <is>
          <t xml:space="preserve"> </t>
        </is>
      </c>
      <c r="E2" s="2" t="inlineStr">
        <is>
          <t xml:space="preserve"> </t>
        </is>
      </c>
      <c r="F2" s="2" t="inlineStr">
        <is>
          <t xml:space="preserve"> </t>
        </is>
      </c>
    </row>
    <row r="3">
      <c r="A3" s="19" t="inlineStr">
        <is>
          <t xml:space="preserve">113/111.002</t>
        </is>
      </c>
      <c r="B3" s="7" t="inlineStr">
        <is>
          <t xml:space="preserve">Gesamte Baustelleneinrichtung › Dauer : Für die Dauer der Leistungen des Unternehmers Anteil Baustelleneinrichtung während der Ausführung sämtlicher Arbeiten der Swisscom AG</t>
        </is>
      </c>
      <c r="C3" s="3">
        <v>1</v>
      </c>
      <c r="D3" s="0" t="inlineStr">
        <is>
          <t xml:space="preserve">Pauschal</t>
        </is>
      </c>
      <c r="E3" s="3">
        <v>424.44</v>
      </c>
      <c r="F3" s="3">
        <v>424.44</v>
      </c>
    </row>
    <row r="4">
      <c r="A4" s="16" t="inlineStr">
        <is>
          <t xml:space="preserve">Summe Element</t>
        </is>
      </c>
      <c r="B4" s="16" t="inlineStr">
        <is>
          <t xml:space="preserve"> </t>
        </is>
      </c>
      <c r="C4" s="16" t="inlineStr">
        <is>
          <t xml:space="preserve"> </t>
        </is>
      </c>
      <c r="D4" s="16" t="inlineStr">
        <is>
          <t xml:space="preserve"> </t>
        </is>
      </c>
      <c r="E4" s="16" t="inlineStr">
        <is>
          <t xml:space="preserve"> </t>
        </is>
      </c>
      <c r="F4" s="4">
        <f>SUM(F3:F3)</f>
        <v>424.44</v>
      </c>
    </row>
    <row r="5">
      <c r="A5" s="2" t="inlineStr">
        <is>
          <t xml:space="preserve">NPK 117 · Abbrüche und Demontagen</t>
        </is>
      </c>
      <c r="B5" s="2" t="inlineStr">
        <is>
          <t xml:space="preserve"> </t>
        </is>
      </c>
      <c r="C5" s="2" t="inlineStr">
        <is>
          <t xml:space="preserve"> </t>
        </is>
      </c>
      <c r="D5" s="2" t="inlineStr">
        <is>
          <t xml:space="preserve"> </t>
        </is>
      </c>
      <c r="E5" s="2" t="inlineStr">
        <is>
          <t xml:space="preserve"> </t>
        </is>
      </c>
      <c r="F5" s="2" t="inlineStr">
        <is>
          <t xml:space="preserve"> </t>
        </is>
      </c>
    </row>
    <row r="6">
      <c r="A6" s="19" t="inlineStr">
        <is>
          <t xml:space="preserve">117/223.123</t>
        </is>
      </c>
      <c r="B6" s="7" t="inlineStr">
        <is>
          <t xml:space="preserve">Bitumenhaltige Schichten und Betondecken abbrechen. › Schneiden. › Bitumenhaltige Schichten, maschinell, mit Schneidfräse. › Schichtdicke mm 101 bis 150.</t>
        </is>
      </c>
      <c r="C6" s="3">
        <v>81.2</v>
      </c>
      <c r="D6" s="0" t="inlineStr">
        <is>
          <t xml:space="preserve">m</t>
        </is>
      </c>
      <c r="E6" s="3">
        <v>11.9</v>
      </c>
      <c r="F6" s="3">
        <v>966.28</v>
      </c>
    </row>
    <row r="7">
      <c r="A7" s="19" t="inlineStr">
        <is>
          <t xml:space="preserve">117/223.213</t>
        </is>
      </c>
      <c r="B7" s="7" t="inlineStr">
        <is>
          <t xml:space="preserve">Bitumenhaltige Schichten und Betondecken abbrechen. › Aufbrechen oder fräsen. › Bitumenhaltige Schichten. › Schichtdicke mm 101 bis 150.</t>
        </is>
      </c>
      <c r="C7" s="3">
        <v>24</v>
      </c>
      <c r="D7" s="0" t="inlineStr">
        <is>
          <t xml:space="preserve">m²</t>
        </is>
      </c>
      <c r="E7" s="3">
        <v>8.9</v>
      </c>
      <c r="F7" s="3">
        <v>213.6</v>
      </c>
    </row>
    <row r="8">
      <c r="A8" s="19" t="inlineStr">
        <is>
          <t xml:space="preserve">117/228.301</t>
        </is>
      </c>
      <c r="B8" s="7" t="inlineStr">
        <is>
          <t xml:space="preserve">Schächte, Abläufe, Abdeckungen, Aufsätze, Armaturen und dgl. abbreche… › Rahmen mit Deckeln oder Rosten. › Abbruch Schachtabdeckungen Guss komplett, rund bis NW 800mm inkl. Abtransport und Deponiegebühren</t>
        </is>
      </c>
      <c r="C8" s="3">
        <v>3</v>
      </c>
      <c r="D8" s="0" t="inlineStr">
        <is>
          <t xml:space="preserve">St</t>
        </is>
      </c>
      <c r="E8" s="3">
        <v>56</v>
      </c>
      <c r="F8" s="3">
        <v>168</v>
      </c>
    </row>
    <row r="9">
      <c r="A9" s="19" t="inlineStr">
        <is>
          <t xml:space="preserve">117/721.222</t>
        </is>
      </c>
      <c r="B9" s="7" t="inlineStr">
        <is>
          <t xml:space="preserve">Transporte, Ausmass: Masse. Inkl. Ablad, exkl. Bearbeitung und Gebühr… › In Deponie. › In Deponie Typ B nach VVEA. › Ausbauasphalt. PAK-Gehalt bis mg/kg 250.</t>
        </is>
      </c>
      <c r="C9" s="3">
        <v>7.49</v>
      </c>
      <c r="D9" s="0" t="inlineStr">
        <is>
          <t xml:space="preserve">t</t>
        </is>
      </c>
      <c r="E9" s="3">
        <v>14.2</v>
      </c>
      <c r="F9" s="3">
        <v>106.36</v>
      </c>
    </row>
    <row r="10">
      <c r="A10" s="19" t="inlineStr">
        <is>
          <t xml:space="preserve">117/731.222</t>
        </is>
      </c>
      <c r="B10" s="7" t="inlineStr">
        <is>
          <t xml:space="preserve">Gebühren für Abgabe von Material, inkl. Bearbeitung. Ausmass: Masse. › In Deponie. › In Deponie Typ B nach VVEA. › Ausbauasphalt. PAK-Gehalt bis mg/kg 250.</t>
        </is>
      </c>
      <c r="C10" s="3">
        <v>7.49</v>
      </c>
      <c r="D10" s="0" t="inlineStr">
        <is>
          <t xml:space="preserve">t</t>
        </is>
      </c>
      <c r="E10" s="3">
        <v>79</v>
      </c>
      <c r="F10" s="3">
        <v>591.71</v>
      </c>
    </row>
    <row r="11">
      <c r="A11" s="16" t="inlineStr">
        <is>
          <t xml:space="preserve">Summe Element</t>
        </is>
      </c>
      <c r="B11" s="16" t="inlineStr">
        <is>
          <t xml:space="preserve"> </t>
        </is>
      </c>
      <c r="C11" s="16" t="inlineStr">
        <is>
          <t xml:space="preserve"> </t>
        </is>
      </c>
      <c r="D11" s="16" t="inlineStr">
        <is>
          <t xml:space="preserve"> </t>
        </is>
      </c>
      <c r="E11" s="16" t="inlineStr">
        <is>
          <t xml:space="preserve"> </t>
        </is>
      </c>
      <c r="F11" s="4">
        <f>SUM(F6:F10)</f>
        <v>2045.95</v>
      </c>
    </row>
    <row r="12">
      <c r="A12" s="2" t="inlineStr">
        <is>
          <t xml:space="preserve">NPK 151 · Bauarbeiten für Werkleitungen</t>
        </is>
      </c>
      <c r="B12" s="2" t="inlineStr">
        <is>
          <t xml:space="preserve"> </t>
        </is>
      </c>
      <c r="C12" s="2" t="inlineStr">
        <is>
          <t xml:space="preserve"> </t>
        </is>
      </c>
      <c r="D12" s="2" t="inlineStr">
        <is>
          <t xml:space="preserve"> </t>
        </is>
      </c>
      <c r="E12" s="2" t="inlineStr">
        <is>
          <t xml:space="preserve"> </t>
        </is>
      </c>
      <c r="F12" s="2" t="inlineStr">
        <is>
          <t xml:space="preserve"> </t>
        </is>
      </c>
    </row>
    <row r="13">
      <c r="A13" s="19" t="inlineStr">
        <is>
          <t xml:space="preserve">151/221.111</t>
        </is>
      </c>
      <c r="B13" s="7" t="inlineStr">
        <is>
          <t xml:space="preserve">U- und V-Gräben ausheben. Abbauklassen 2 bis 4. › Maschinell. › Keine Behinderung durch Spriessung. › t bis m 1,50.</t>
        </is>
      </c>
      <c r="C13" s="3">
        <v>12.96</v>
      </c>
      <c r="D13" s="0" t="inlineStr">
        <is>
          <t xml:space="preserve">m³</t>
        </is>
      </c>
      <c r="E13" s="3">
        <v>26.5</v>
      </c>
      <c r="F13" s="3">
        <v>343.44</v>
      </c>
    </row>
    <row r="14">
      <c r="A14" s="19" t="inlineStr">
        <is>
          <t xml:space="preserve">151/221.211</t>
        </is>
      </c>
      <c r="B14" s="7" t="inlineStr">
        <is>
          <t xml:space="preserve">U- und V-Gräben ausheben. Abbauklassen 2 bis 4. › Von Hand. › Keine Behinderung durch Spriessung. › t bis m 1,50.</t>
        </is>
      </c>
      <c r="C14" s="3">
        <v>1.44</v>
      </c>
      <c r="D14" s="0" t="inlineStr">
        <is>
          <t xml:space="preserve">m³</t>
        </is>
      </c>
      <c r="E14" s="3">
        <v>100.1</v>
      </c>
      <c r="F14" s="3">
        <v>144.14</v>
      </c>
    </row>
    <row r="15">
      <c r="A15" s="19" t="inlineStr">
        <is>
          <t xml:space="preserve">151/241.002</t>
        </is>
      </c>
      <c r="B15" s="7" t="inlineStr">
        <is>
          <t xml:space="preserve">Mehrleistungen bei Behinderungen durch Leitungen. › Quer zu Gräben und Gruben.</t>
        </is>
      </c>
      <c r="C15" s="3">
        <v>1</v>
      </c>
      <c r="D15" s="0" t="inlineStr">
        <is>
          <t xml:space="preserve">m</t>
        </is>
      </c>
      <c r="E15" s="3">
        <v>11.3</v>
      </c>
      <c r="F15" s="3">
        <v>11.3</v>
      </c>
    </row>
    <row r="16">
      <c r="A16" s="19" t="inlineStr">
        <is>
          <t xml:space="preserve">151/242.002</t>
        </is>
      </c>
      <c r="B16" s="7" t="inlineStr">
        <is>
          <t xml:space="preserve">Mehrleistungen für Sichern und Schützen von Leitungen. › Quer zu Gräben und Gruben.</t>
        </is>
      </c>
      <c r="C16" s="3">
        <v>1</v>
      </c>
      <c r="D16" s="0" t="inlineStr">
        <is>
          <t xml:space="preserve">m</t>
        </is>
      </c>
      <c r="E16" s="3">
        <v>10.8</v>
      </c>
      <c r="F16" s="3">
        <v>10.8</v>
      </c>
    </row>
    <row r="17">
      <c r="A17" s="19" t="inlineStr">
        <is>
          <t xml:space="preserve">151/252.213</t>
        </is>
      </c>
      <c r="B17" s="7" t="inlineStr">
        <is>
          <t xml:space="preserve">Transporte inner- und ausserhalb Baustelle, inkl. Ablad. Ausmass: Vol… › In Deponie, exkl. Gebühren. › Klassierung nach VVEA. Deponie Typ A. › Aushubmaterial.</t>
        </is>
      </c>
      <c r="C17" s="3">
        <v>1.4</v>
      </c>
      <c r="D17" s="0" t="inlineStr">
        <is>
          <t xml:space="preserve">m³</t>
        </is>
      </c>
      <c r="E17" s="3">
        <v>32.6</v>
      </c>
      <c r="F17" s="3">
        <v>45.64</v>
      </c>
    </row>
    <row r="18">
      <c r="A18" s="19" t="inlineStr">
        <is>
          <t xml:space="preserve">151/262.113</t>
        </is>
      </c>
      <c r="B18" s="7" t="inlineStr">
        <is>
          <t xml:space="preserve">Gebühren für Abgabe von Material in Deponie. Ausmass: Volumen fest. › In Deponie Unternehmer. › Klassierung nach VVEA. Deponie Typ A. › Aushubmaterial.</t>
        </is>
      </c>
      <c r="C18" s="3">
        <v>1.4</v>
      </c>
      <c r="D18" s="0" t="inlineStr">
        <is>
          <t xml:space="preserve">m³</t>
        </is>
      </c>
      <c r="E18" s="3">
        <v>33.7</v>
      </c>
      <c r="F18" s="3">
        <v>47.18</v>
      </c>
    </row>
    <row r="19">
      <c r="A19" s="19" t="inlineStr">
        <is>
          <t xml:space="preserve">151/273.203</t>
        </is>
      </c>
      <c r="B19" s="7" t="inlineStr">
        <is>
          <t xml:space="preserve">Aufladen von Material ab bauseits angeordnetem Zwischenlager. › Maschinell. Ausmass: Volumen fest. › Aushubmaterial.</t>
        </is>
      </c>
      <c r="C19" s="3">
        <v>1.4</v>
      </c>
      <c r="D19" s="0" t="inlineStr">
        <is>
          <t xml:space="preserve">m³</t>
        </is>
      </c>
      <c r="E19" s="3">
        <v>6.45</v>
      </c>
      <c r="F19" s="3">
        <v>9.03</v>
      </c>
    </row>
    <row r="20">
      <c r="A20" s="19" t="inlineStr">
        <is>
          <t xml:space="preserve">151/412.211</t>
        </is>
      </c>
      <c r="B20" s="7" t="inlineStr">
        <is>
          <t xml:space="preserve">Kabelschutzrohre aus PE-HD liefern, C+S. › Rohrlänge m 10. › Mit STM, inkl. Dichtungen. › DN/ID 55.</t>
        </is>
      </c>
      <c r="C20" s="3">
        <v>40</v>
      </c>
      <c r="D20" s="0" t="inlineStr">
        <is>
          <t xml:space="preserve">m</t>
        </is>
      </c>
      <c r="E20" s="3">
        <v>2.7</v>
      </c>
      <c r="F20" s="3">
        <v>108</v>
      </c>
    </row>
    <row r="21">
      <c r="A21" s="19" t="inlineStr">
        <is>
          <t xml:space="preserve">151/421.511</t>
        </is>
      </c>
      <c r="B21" s="7" t="inlineStr">
        <is>
          <t xml:space="preserve">Formstücke liefern (1). › Muffen (1). › Doppelsteckmuffen. Inkl. Dichtungen. › DN/ID 55.</t>
        </is>
      </c>
      <c r="C21" s="3">
        <v>8</v>
      </c>
      <c r="D21" s="0" t="inlineStr">
        <is>
          <t xml:space="preserve">St</t>
        </is>
      </c>
      <c r="E21" s="3">
        <v>5.2</v>
      </c>
      <c r="F21" s="3">
        <v>41.6</v>
      </c>
    </row>
    <row r="22">
      <c r="A22" s="19" t="inlineStr">
        <is>
          <t xml:space="preserve">151/431.001</t>
        </is>
      </c>
      <c r="B22" s="7" t="inlineStr">
        <is>
          <t xml:space="preserve">Kabelschutzrohre in Stangen oder ab Rollen verlegen und dichten. › Bis DN/ID 60.</t>
        </is>
      </c>
      <c r="C22" s="3">
        <v>40</v>
      </c>
      <c r="D22" s="0" t="inlineStr">
        <is>
          <t xml:space="preserve">m</t>
        </is>
      </c>
      <c r="E22" s="3">
        <v>3.4</v>
      </c>
      <c r="F22" s="3">
        <v>136</v>
      </c>
    </row>
    <row r="23">
      <c r="A23" s="19" t="inlineStr">
        <is>
          <t xml:space="preserve">151/442.111</t>
        </is>
      </c>
      <c r="B23" s="7" t="inlineStr">
        <is>
          <t xml:space="preserve">Mehrleistungen zum Verlegen von Muffen zu Kabelschutzrohren. › Muffen (1). › Doppelsteckmuffen. › DN/ID 55.</t>
        </is>
      </c>
      <c r="C23" s="3">
        <v>8</v>
      </c>
      <c r="D23" s="0" t="inlineStr">
        <is>
          <t xml:space="preserve">St</t>
        </is>
      </c>
      <c r="E23" s="3">
        <v>5.5</v>
      </c>
      <c r="F23" s="3">
        <v>44</v>
      </c>
    </row>
    <row r="24">
      <c r="A24" s="19" t="inlineStr">
        <is>
          <t xml:space="preserve">151/484.111</t>
        </is>
      </c>
      <c r="B24" s="7" t="inlineStr">
        <is>
          <t xml:space="preserve">Bänder und Netze. › Bänder und Netze liefern. › Warnbänder. › Typ Warnband für Kabelanlagen</t>
        </is>
      </c>
      <c r="C24" s="3">
        <v>40</v>
      </c>
      <c r="D24" s="0" t="inlineStr">
        <is>
          <t xml:space="preserve">m</t>
        </is>
      </c>
      <c r="E24" s="3">
        <v>0.1</v>
      </c>
      <c r="F24" s="3">
        <v>4</v>
      </c>
    </row>
    <row r="25">
      <c r="A25" s="19" t="inlineStr">
        <is>
          <t xml:space="preserve">151/484.211</t>
        </is>
      </c>
      <c r="B25" s="7" t="inlineStr">
        <is>
          <t xml:space="preserve">Bänder und Netze. › Bänder und Netze verlegen. › Warnbänder. › Typ Warnband für Kabelanlagen</t>
        </is>
      </c>
      <c r="C25" s="3">
        <v>40</v>
      </c>
      <c r="D25" s="0" t="inlineStr">
        <is>
          <t xml:space="preserve">m</t>
        </is>
      </c>
      <c r="E25" s="3">
        <v>0.5</v>
      </c>
      <c r="F25" s="3">
        <v>20</v>
      </c>
    </row>
    <row r="26">
      <c r="A26" s="19" t="inlineStr">
        <is>
          <t xml:space="preserve">151/485.004</t>
        </is>
      </c>
      <c r="B26" s="7" t="inlineStr">
        <is>
          <t xml:space="preserve">Kalibrieren von verlegten Rohren. › DN/ID 55</t>
        </is>
      </c>
      <c r="C26" s="3">
        <v>40</v>
      </c>
      <c r="D26" s="0" t="inlineStr">
        <is>
          <t xml:space="preserve">m</t>
        </is>
      </c>
      <c r="E26" s="3">
        <v>1.5</v>
      </c>
      <c r="F26" s="3">
        <v>60</v>
      </c>
    </row>
    <row r="27">
      <c r="A27" s="19" t="inlineStr">
        <is>
          <t xml:space="preserve">151/486.001</t>
        </is>
      </c>
      <c r="B27" s="7" t="inlineStr">
        <is>
          <t xml:space="preserve">Schnüre in Rohre einlegen, einziehen oder einblasen und an beiden End… › Inkl. Lieferung.</t>
        </is>
      </c>
      <c r="C27" s="3">
        <v>40</v>
      </c>
      <c r="D27" s="0" t="inlineStr">
        <is>
          <t xml:space="preserve">m</t>
        </is>
      </c>
      <c r="E27" s="3">
        <v>1.5</v>
      </c>
      <c r="F27" s="3">
        <v>60</v>
      </c>
    </row>
    <row r="28">
      <c r="A28" s="19" t="inlineStr">
        <is>
          <t xml:space="preserve">151/632.131</t>
        </is>
      </c>
      <c r="B28" s="7" t="inlineStr">
        <is>
          <t xml:space="preserve">Abdeckungen. › Abdeckplatten und Schachtabdeckungen liefern (franko Baustelle). › Rahmen mit Betonuntersatz System DS VR o. Deckel Lieferant HGC Artikel Nr. 1373513</t>
        </is>
      </c>
      <c r="C28" s="3">
        <v>3</v>
      </c>
      <c r="D28" s="0" t="inlineStr">
        <is>
          <t xml:space="preserve">St</t>
        </is>
      </c>
      <c r="E28" s="3">
        <v>358</v>
      </c>
      <c r="F28" s="3">
        <v>1074</v>
      </c>
    </row>
    <row r="29">
      <c r="A29" s="19" t="inlineStr">
        <is>
          <t xml:space="preserve">151/632.136</t>
        </is>
      </c>
      <c r="B29" s="7" t="inlineStr">
        <is>
          <t xml:space="preserve">Abdeckungen. › Abdeckplatten und Schachtabdeckungen liefern (franko Baustelle). › Vollgussdeckel nicht schliessbar System DS400 Lieferant HGC Artikel Nr. 1373547</t>
        </is>
      </c>
      <c r="C29" s="3">
        <v>3</v>
      </c>
      <c r="D29" s="0" t="inlineStr">
        <is>
          <t xml:space="preserve">St</t>
        </is>
      </c>
      <c r="E29" s="3">
        <v>181</v>
      </c>
      <c r="F29" s="3">
        <v>543</v>
      </c>
    </row>
    <row r="30">
      <c r="A30" s="19" t="inlineStr">
        <is>
          <t xml:space="preserve">151/632.231</t>
        </is>
      </c>
      <c r="B30" s="7" t="inlineStr">
        <is>
          <t xml:space="preserve">Abdeckungen. › Abdeckplatten und Schachtabdeckungen auf definitive Höhe versetzen, inkl. Material für Auflager und Befestigung. › Rahmen mit Betonuntersatz System DS VR o. Deckel Lieferant HGC Artikel Nr. 1373513</t>
        </is>
      </c>
      <c r="C30" s="3">
        <v>3</v>
      </c>
      <c r="D30" s="0" t="inlineStr">
        <is>
          <t xml:space="preserve">St</t>
        </is>
      </c>
      <c r="E30" s="3">
        <v>174</v>
      </c>
      <c r="F30" s="3">
        <v>522</v>
      </c>
    </row>
    <row r="31">
      <c r="A31" s="19" t="inlineStr">
        <is>
          <t xml:space="preserve">151/632.236</t>
        </is>
      </c>
      <c r="B31" s="7" t="inlineStr">
        <is>
          <t xml:space="preserve">Abdeckungen. › Abdeckplatten und Schachtabdeckungen auf definitive Höhe versetzen, inkl. Material für Auflager und Befestigung. › Vollgussdeckel nicht schliessbar System DS400 Lieferant HGC Artikel Nr. 1373547</t>
        </is>
      </c>
      <c r="C31" s="3">
        <v>3</v>
      </c>
      <c r="D31" s="0" t="inlineStr">
        <is>
          <t xml:space="preserve">St</t>
        </is>
      </c>
      <c r="E31" s="3">
        <v>85</v>
      </c>
      <c r="F31" s="3">
        <v>255</v>
      </c>
    </row>
    <row r="32">
      <c r="A32" s="19" t="inlineStr">
        <is>
          <t xml:space="preserve">151/711.123</t>
        </is>
      </c>
      <c r="B32" s="7" t="inlineStr">
        <is>
          <t xml:space="preserve">Natürliche Gesteinskörnungen liefern, zur Verwendungsstelle oder in Z… › Ausmass: Volumen lose. › Gesteinskörnungen nach Norm SN EN 12 620. › Betonkies 0/16.</t>
        </is>
      </c>
      <c r="C32" s="3">
        <v>1.4</v>
      </c>
      <c r="D32" s="0" t="inlineStr">
        <is>
          <t xml:space="preserve">m³</t>
        </is>
      </c>
      <c r="E32" s="3">
        <v>78.6</v>
      </c>
      <c r="F32" s="3">
        <v>110.04</v>
      </c>
    </row>
    <row r="33">
      <c r="A33" s="19" t="inlineStr">
        <is>
          <t xml:space="preserve">151/721.101</t>
        </is>
      </c>
      <c r="B33" s="7" t="inlineStr">
        <is>
          <t xml:space="preserve">Material für Bettung, Verdämmung und Abdeckung der Leitungszonen einb… › Ausmass: Volumen lose. › Natürliche oder rezyklierte Gesteinskörnungen, exkl. Lieferung.</t>
        </is>
      </c>
      <c r="C33" s="3">
        <v>1.4</v>
      </c>
      <c r="D33" s="0" t="inlineStr">
        <is>
          <t xml:space="preserve">m³</t>
        </is>
      </c>
      <c r="E33" s="3">
        <v>23</v>
      </c>
      <c r="F33" s="3">
        <v>32.2</v>
      </c>
    </row>
    <row r="34">
      <c r="A34" s="19" t="inlineStr">
        <is>
          <t xml:space="preserve">151/741.111</t>
        </is>
      </c>
      <c r="B34" s="7" t="inlineStr">
        <is>
          <t xml:space="preserve">Seitlich zwischengelagertes oder zugeführtes Material einfüllen. › Ausmass: Volumen lose. › Maschinell. › Aushubmaterial.</t>
        </is>
      </c>
      <c r="C34" s="3">
        <v>9.88</v>
      </c>
      <c r="D34" s="0" t="inlineStr">
        <is>
          <t xml:space="preserve">m³</t>
        </is>
      </c>
      <c r="E34" s="3">
        <v>15</v>
      </c>
      <c r="F34" s="3">
        <v>148.2</v>
      </c>
    </row>
    <row r="35">
      <c r="A35" s="16" t="inlineStr">
        <is>
          <t xml:space="preserve">Summe Element</t>
        </is>
      </c>
      <c r="B35" s="16" t="inlineStr">
        <is>
          <t xml:space="preserve"> </t>
        </is>
      </c>
      <c r="C35" s="16" t="inlineStr">
        <is>
          <t xml:space="preserve"> </t>
        </is>
      </c>
      <c r="D35" s="16" t="inlineStr">
        <is>
          <t xml:space="preserve"> </t>
        </is>
      </c>
      <c r="E35" s="16" t="inlineStr">
        <is>
          <t xml:space="preserve"> </t>
        </is>
      </c>
      <c r="F35" s="4">
        <f>SUM(F13:F34)</f>
        <v>3769.57</v>
      </c>
    </row>
    <row r="36">
      <c r="A36" s="2" t="inlineStr">
        <is>
          <t xml:space="preserve">NPK 223 · Belagsarbeiten</t>
        </is>
      </c>
      <c r="B36" s="2" t="inlineStr">
        <is>
          <t xml:space="preserve"> </t>
        </is>
      </c>
      <c r="C36" s="2" t="inlineStr">
        <is>
          <t xml:space="preserve"> </t>
        </is>
      </c>
      <c r="D36" s="2" t="inlineStr">
        <is>
          <t xml:space="preserve"> </t>
        </is>
      </c>
      <c r="E36" s="2" t="inlineStr">
        <is>
          <t xml:space="preserve"> </t>
        </is>
      </c>
      <c r="F36" s="2" t="inlineStr">
        <is>
          <t xml:space="preserve"> </t>
        </is>
      </c>
    </row>
    <row r="37">
      <c r="A37" s="19" t="inlineStr">
        <is>
          <t xml:space="preserve">223/422.101</t>
        </is>
      </c>
      <c r="B37" s="7" t="inlineStr">
        <is>
          <t xml:space="preserve">Haftvermittler aufbringen. › Geeignetes Produkt auf die Unterlage aufbringen, zur Gewähr… › Haftvermittler Typ HCB4.</t>
        </is>
      </c>
      <c r="C37" s="3">
        <v>24</v>
      </c>
      <c r="D37" s="0" t="inlineStr">
        <is>
          <t xml:space="preserve">m²</t>
        </is>
      </c>
      <c r="E37" s="3">
        <v>2</v>
      </c>
      <c r="F37" s="3">
        <v>48</v>
      </c>
    </row>
    <row r="38">
      <c r="A38" s="19" t="inlineStr">
        <is>
          <t xml:space="preserve">223/423.213</t>
        </is>
      </c>
      <c r="B38" s="7" t="inlineStr">
        <is>
          <t xml:space="preserve">Längs- und Quernähte ausbilden. › Schnittfläche anstreichen, inkl. vorheriges Reinigen. Inkl.… › Heissbitumen. › Schichtdicke mm 81 bis 130.</t>
        </is>
      </c>
      <c r="C38" s="3">
        <v>81.2</v>
      </c>
      <c r="D38" s="0" t="inlineStr">
        <is>
          <t xml:space="preserve">m</t>
        </is>
      </c>
      <c r="E38" s="3">
        <v>3.9</v>
      </c>
      <c r="F38" s="3">
        <v>316.68</v>
      </c>
    </row>
    <row r="39">
      <c r="A39" s="19" t="inlineStr">
        <is>
          <t xml:space="preserve">223/424.113</t>
        </is>
      </c>
      <c r="B39" s="7" t="inlineStr">
        <is>
          <t xml:space="preserve">Anschlussflächen behandeln, z.B. bei Stossverbindungen, Fahrbahnüberg… › Anschlussfläche anstreichen, inkl. vorheriges Reinigen. › Heissbitumen. › Schichtdicke mm 81 bis 130.</t>
        </is>
      </c>
      <c r="C39" s="3">
        <v>81.2</v>
      </c>
      <c r="D39" s="0" t="inlineStr">
        <is>
          <t xml:space="preserve">m</t>
        </is>
      </c>
      <c r="E39" s="3">
        <v>4.5</v>
      </c>
      <c r="F39" s="3">
        <v>365.4</v>
      </c>
    </row>
    <row r="40">
      <c r="A40" s="19" t="inlineStr">
        <is>
          <t xml:space="preserve">223/444.131</t>
        </is>
      </c>
      <c r="B40" s="7" t="inlineStr">
        <is>
          <t xml:space="preserve">Mischgut Typ N für Anpassungen, Vorplätze, Zugänge und dgl. liefern,… › Tragschichten AC T Typ N. Ausmass: Masse. › AC T 22 N. › d mm bis 90</t>
        </is>
      </c>
      <c r="C40" s="3">
        <v>5.18</v>
      </c>
      <c r="D40" s="0" t="inlineStr">
        <is>
          <t xml:space="preserve">t</t>
        </is>
      </c>
      <c r="E40" s="3">
        <v>189</v>
      </c>
      <c r="F40" s="3">
        <v>979.02</v>
      </c>
    </row>
    <row r="41">
      <c r="A41" s="19" t="inlineStr">
        <is>
          <t xml:space="preserve">223/444.211</t>
        </is>
      </c>
      <c r="B41" s="7" t="inlineStr">
        <is>
          <t xml:space="preserve">Mischgut Typ N für Anpassungen, Vorplätze, Zugänge und dgl. liefern,… › Deckschichten AC Typ N. Ausmass: Masse. › AC 8 N. › d mm bis 40</t>
        </is>
      </c>
      <c r="C41" s="3">
        <v>2.3</v>
      </c>
      <c r="D41" s="0" t="inlineStr">
        <is>
          <t xml:space="preserve">t</t>
        </is>
      </c>
      <c r="E41" s="3">
        <v>278</v>
      </c>
      <c r="F41" s="3">
        <v>639.4</v>
      </c>
    </row>
    <row r="42">
      <c r="A42" s="19" t="inlineStr">
        <is>
          <t xml:space="preserve">223/571.101</t>
        </is>
      </c>
      <c r="B42" s="7" t="inlineStr">
        <is>
          <t xml:space="preserve">Deckschichtränder abschneiden entlang von Randabschlüssen und bei Ein… › Ränder abschneiden von Hand oder maschinell, inkl. Aufladen… › Randabschlüsse.</t>
        </is>
      </c>
      <c r="C42" s="3">
        <v>81.2</v>
      </c>
      <c r="D42" s="0" t="inlineStr">
        <is>
          <t xml:space="preserve">m</t>
        </is>
      </c>
      <c r="E42" s="3">
        <v>4</v>
      </c>
      <c r="F42" s="3">
        <v>324.8</v>
      </c>
    </row>
    <row r="43">
      <c r="A43" s="16" t="inlineStr">
        <is>
          <t xml:space="preserve">Summe Element</t>
        </is>
      </c>
      <c r="B43" s="16" t="inlineStr">
        <is>
          <t xml:space="preserve"> </t>
        </is>
      </c>
      <c r="C43" s="16" t="inlineStr">
        <is>
          <t xml:space="preserve"> </t>
        </is>
      </c>
      <c r="D43" s="16" t="inlineStr">
        <is>
          <t xml:space="preserve"> </t>
        </is>
      </c>
      <c r="E43" s="16" t="inlineStr">
        <is>
          <t xml:space="preserve"> </t>
        </is>
      </c>
      <c r="F43" s="4">
        <f>SUM(F37:F42)</f>
        <v>2673.3</v>
      </c>
    </row>
    <row r="44"/>
    <row r="45">
      <c r="A45" s="16" t="inlineStr">
        <is>
          <t xml:space="preserve">Total Zusammenfassung</t>
        </is>
      </c>
      <c r="B45" s="16" t="inlineStr">
        <is>
          <t xml:space="preserve"> </t>
        </is>
      </c>
      <c r="C45" s="16" t="inlineStr">
        <is>
          <t xml:space="preserve"> </t>
        </is>
      </c>
      <c r="D45" s="16" t="inlineStr">
        <is>
          <t xml:space="preserve"> </t>
        </is>
      </c>
      <c r="E45" s="16" t="inlineStr">
        <is>
          <t xml:space="preserve"> </t>
        </is>
      </c>
      <c r="F45" s="15">
        <f>F4+F11+F35+F43</f>
        <v>8913.26</v>
      </c>
    </row>
    <row r="46">
      <c r="A46" s="13" t="inlineStr">
        <is>
          <t xml:space="preserve">Kontrolle: Zusammenfassung minus Zwischensumme</t>
        </is>
      </c>
      <c r="F46" s="3">
        <f>F45-'Kostenübersicht'!B19</f>
        <v>0</v>
      </c>
    </row>
  </sheetData>
  <pageMargins left="0.5" right="0.5" top="0.6" bottom="0.6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 showGridLines="0"/>
  </sheetViews>
  <sheetFormatPr defaultRowHeight="15"/>
  <cols>
    <col min="1" max="1" width="62" customWidth="1"/>
    <col min="2" max="2" width="14" customWidth="1"/>
    <col min="3" max="3" width="8" customWidth="1"/>
  </cols>
  <sheetData>
    <row r="1">
      <c r="A1" s="18" t="inlineStr">
        <is>
          <t xml:space="preserve">Graben · Leitungsgraben 1</t>
        </is>
      </c>
      <c r="B1" s="18" t="inlineStr">
        <is>
          <t xml:space="preserve"> </t>
        </is>
      </c>
      <c r="C1" s="18" t="inlineStr">
        <is>
          <t xml:space="preserve"> </t>
        </is>
      </c>
    </row>
    <row r="2">
      <c r="A2" s="0" t="inlineStr">
        <is>
          <t xml:space="preserve">Aushubvolumen (Grabenbreite × Länge × Tiefe)</t>
        </is>
      </c>
      <c r="B2" s="3">
        <v>14.4</v>
      </c>
      <c r="C2" s="0" t="inlineStr">
        <is>
          <t xml:space="preserve">m³</t>
        </is>
      </c>
    </row>
    <row r="3">
      <c r="A3" s="0" t="inlineStr">
        <is>
          <t xml:space="preserve">davon Belag Bestand (Abbruch)</t>
        </is>
      </c>
      <c r="B3" s="3">
        <v>3.12</v>
      </c>
      <c r="C3" s="0" t="inlineStr">
        <is>
          <t xml:space="preserve">m³</t>
        </is>
      </c>
    </row>
    <row r="4">
      <c r="A4" s="0" t="inlineStr">
        <is>
          <t xml:space="preserve">Erdaushub</t>
        </is>
      </c>
      <c r="B4" s="3">
        <v>11.28</v>
      </c>
      <c r="C4" s="0" t="inlineStr">
        <is>
          <t xml:space="preserve">m³</t>
        </is>
      </c>
    </row>
    <row r="5">
      <c r="A5" s="0" t="inlineStr">
        <is>
          <t xml:space="preserve">Leitungszone (Umhüllung)</t>
        </is>
      </c>
      <c r="B5" s="3">
        <v>1.4</v>
      </c>
      <c r="C5" s="0" t="inlineStr">
        <is>
          <t xml:space="preserve">m³</t>
        </is>
      </c>
    </row>
    <row r="6">
      <c r="A6" s="0" t="inlineStr">
        <is>
          <t xml:space="preserve">Belag/Fundation neu bzw. Belagsraum</t>
        </is>
      </c>
      <c r="B6" s="3">
        <v>3.12</v>
      </c>
      <c r="C6" s="0" t="inlineStr">
        <is>
          <t xml:space="preserve">m³</t>
        </is>
      </c>
    </row>
    <row r="7">
      <c r="A7" s="0" t="inlineStr">
        <is>
          <t xml:space="preserve">Verfüllung (Ausmass)</t>
        </is>
      </c>
      <c r="B7" s="3">
        <v>9.88</v>
      </c>
      <c r="C7" s="0" t="inlineStr">
        <is>
          <t xml:space="preserve">m³</t>
        </is>
      </c>
    </row>
    <row r="8">
      <c r="A8" s="0" t="inlineStr">
        <is>
          <t xml:space="preserve">davon Aushub wiederverwendet</t>
        </is>
      </c>
      <c r="B8" s="3">
        <v>9.88</v>
      </c>
      <c r="C8" s="0" t="inlineStr">
        <is>
          <t xml:space="preserve">m³</t>
        </is>
      </c>
    </row>
    <row r="9">
      <c r="A9" s="0" t="inlineStr">
        <is>
          <t xml:space="preserve">davon Fremdmaterial geliefert</t>
        </is>
      </c>
      <c r="B9" s="3">
        <v>0</v>
      </c>
      <c r="C9" s="0" t="inlineStr">
        <is>
          <t xml:space="preserve">m³</t>
        </is>
      </c>
    </row>
    <row r="10">
      <c r="A10" s="0" t="inlineStr">
        <is>
          <t xml:space="preserve">Überschuss zur Deponie</t>
        </is>
      </c>
      <c r="B10" s="3">
        <v>1.4</v>
      </c>
      <c r="C10" s="0" t="inlineStr">
        <is>
          <t xml:space="preserve">m³</t>
        </is>
      </c>
    </row>
    <row r="11"/>
  </sheetData>
  <pageMargins left="0.5" right="0.5" top="0.6" bottom="0.6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sheetViews>
    <sheetView workbookViewId="0" showGridLines="0"/>
  </sheetViews>
  <sheetFormatPr defaultRowHeight="15"/>
  <cols>
    <col min="1" max="1" width="64" customWidth="1"/>
    <col min="2" max="2" width="30" customWidth="1"/>
  </cols>
  <sheetData>
    <row r="1">
      <c r="A1" s="1" t="inlineStr">
        <is>
          <t xml:space="preserve">Element</t>
        </is>
      </c>
      <c r="B1" s="1" t="inlineStr">
        <is>
          <t xml:space="preserve">Schweregrad</t>
        </is>
      </c>
    </row>
    <row r="2">
      <c r="A2" s="22" t="inlineStr">
        <is>
          <t xml:space="preserve">Baustelleneinrichtung, Arbeitsvorbereitung</t>
        </is>
      </c>
      <c r="B2" s="22" t="inlineStr">
        <is>
          <t xml:space="preserve">erfasst</t>
        </is>
      </c>
    </row>
    <row r="3">
      <c r="A3" s="21" t="inlineStr">
        <is>
          <t xml:space="preserve">Sondierungen</t>
        </is>
      </c>
      <c r="B3" s="21" t="inlineStr">
        <is>
          <t xml:space="preserve">im Projekt nicht enthalten – prüfen</t>
        </is>
      </c>
    </row>
    <row r="4">
      <c r="A4" s="22" t="inlineStr">
        <is>
          <t xml:space="preserve">Belagsschnitt/-abbruch, Freilegen</t>
        </is>
      </c>
      <c r="B4" s="22" t="inlineStr">
        <is>
          <t xml:space="preserve">erfasst</t>
        </is>
      </c>
    </row>
    <row r="5">
      <c r="A5" s="22" t="inlineStr">
        <is>
          <t xml:space="preserve">Maschineller und manueller Aushub</t>
        </is>
      </c>
      <c r="B5" s="22" t="inlineStr">
        <is>
          <t xml:space="preserve">erfasst</t>
        </is>
      </c>
    </row>
    <row r="6">
      <c r="A6" s="21" t="inlineStr">
        <is>
          <t xml:space="preserve">Erschwernisse, Verbau, Spriessung, Wasserhaltung</t>
        </is>
      </c>
      <c r="B6" s="21" t="inlineStr">
        <is>
          <t xml:space="preserve">im Projekt nicht enthalten – prüfen</t>
        </is>
      </c>
    </row>
    <row r="7">
      <c r="A7" s="22" t="inlineStr">
        <is>
          <t xml:space="preserve">Aufladen, Transport, Zwischenlager, Deponiegebühren</t>
        </is>
      </c>
      <c r="B7" s="22" t="inlineStr">
        <is>
          <t xml:space="preserve">erfasst</t>
        </is>
      </c>
    </row>
    <row r="8">
      <c r="A8" s="22" t="inlineStr">
        <is>
          <t xml:space="preserve">Planie, Bettung, Leitungszone, Rohrumhüllung, Verfüllung, Verdichtung</t>
        </is>
      </c>
      <c r="B8" s="22" t="inlineStr">
        <is>
          <t xml:space="preserve">erfasst</t>
        </is>
      </c>
    </row>
    <row r="9">
      <c r="A9" s="22" t="inlineStr">
        <is>
          <t xml:space="preserve">Lieferung und Verlegung K55-Rohre</t>
        </is>
      </c>
      <c r="B9" s="22" t="inlineStr">
        <is>
          <t xml:space="preserve">erfasst</t>
        </is>
      </c>
    </row>
    <row r="10">
      <c r="A10" s="22" t="inlineStr">
        <is>
          <t xml:space="preserve">Formstücke, Muffen, Warnband</t>
        </is>
      </c>
      <c r="B10" s="22" t="inlineStr">
        <is>
          <t xml:space="preserve">erfasst</t>
        </is>
      </c>
    </row>
    <row r="11">
      <c r="A11" s="22" t="inlineStr">
        <is>
          <t xml:space="preserve">Kalibrierung, Abnahme, Übergabe</t>
        </is>
      </c>
      <c r="B11" s="22" t="inlineStr">
        <is>
          <t xml:space="preserve">erfasst</t>
        </is>
      </c>
    </row>
    <row r="12">
      <c r="A12" s="22" t="inlineStr">
        <is>
          <t xml:space="preserve">Schächte und Abdeckungen</t>
        </is>
      </c>
      <c r="B12" s="22" t="inlineStr">
        <is>
          <t xml:space="preserve">erfasst</t>
        </is>
      </c>
    </row>
    <row r="13">
      <c r="A13" s="22" t="inlineStr">
        <is>
          <t xml:space="preserve">Oberflächen- und Belagswiederherstellung</t>
        </is>
      </c>
      <c r="B13" s="22" t="inlineStr">
        <is>
          <t xml:space="preserve">erfasst</t>
        </is>
      </c>
    </row>
    <row r="14">
      <c r="A14" s="21" t="inlineStr">
        <is>
          <t xml:space="preserve">Signalisation und Verkehrsdienst</t>
        </is>
      </c>
      <c r="B14" s="21" t="inlineStr">
        <is>
          <t xml:space="preserve">im Projekt nicht enthalten – prüfen</t>
        </is>
      </c>
    </row>
    <row r="15">
      <c r="A15" s="22" t="inlineStr">
        <is>
          <t xml:space="preserve">Schutz bestehender Werkleitungen</t>
        </is>
      </c>
      <c r="B15" s="22" t="inlineStr">
        <is>
          <t xml:space="preserve">erfasst</t>
        </is>
      </c>
    </row>
    <row r="16">
      <c r="A16" s="21" t="inlineStr">
        <is>
          <t xml:space="preserve">Bestandsdokumentation</t>
        </is>
      </c>
      <c r="B16" s="21" t="inlineStr">
        <is>
          <t xml:space="preserve">keine LV-Position – manuell prüfen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>
  <sheetPr>
    <pageSetUpPr fitToPage="1"/>
  </sheetPr>
  <sheetViews>
    <sheetView workbookViewId="0" showGridLines="0"/>
  </sheetViews>
  <sheetFormatPr defaultRowHeight="15"/>
  <cols>
    <col min="1" max="1" width="22" customWidth="1"/>
    <col min="2" max="2" width="40" customWidth="1"/>
    <col min="3" max="3" width="20" customWidth="1"/>
    <col min="4" max="4" width="14" customWidth="1"/>
  </cols>
  <sheetData>
    <row r="1">
      <c r="A1" s="1" t="inlineStr">
        <is>
          <t xml:space="preserve">Element</t>
        </is>
      </c>
      <c r="B1" s="1" t="inlineStr">
        <is>
          <t xml:space="preserve">Annahme</t>
        </is>
      </c>
      <c r="C1" s="1" t="inlineStr">
        <is>
          <t xml:space="preserve">Alternative</t>
        </is>
      </c>
      <c r="D1" s="1" t="inlineStr">
        <is>
          <t xml:space="preserve">Wirkung auf Zwischensumme</t>
        </is>
      </c>
    </row>
    <row r="2">
      <c r="A2" s="0" t="inlineStr">
        <is>
          <t xml:space="preserve">Leitungsgraben 1</t>
        </is>
      </c>
      <c r="B2" s="7" t="inlineStr">
        <is>
          <t xml:space="preserve">Aushub von Hand: Normal (10 %)</t>
        </is>
      </c>
      <c r="C2" s="0" t="inlineStr">
        <is>
          <t xml:space="preserve">Eng / Fremdleitungen (30 %)</t>
        </is>
      </c>
      <c r="D2" s="12">
        <v>222.57</v>
      </c>
    </row>
    <row r="3">
      <c r="A3" s="0" t="inlineStr">
        <is>
          <t xml:space="preserve">Leitungsgraben 1</t>
        </is>
      </c>
      <c r="B3" s="7" t="inlineStr">
        <is>
          <t xml:space="preserve">Leitungszone Querschnitt: 0.035 m²/m</t>
        </is>
      </c>
      <c r="C3" s="0" t="inlineStr">
        <is>
          <t xml:space="preserve">0.05 m²/m</t>
        </is>
      </c>
      <c r="D3" s="12">
        <v>66.93</v>
      </c>
    </row>
    <row r="4">
      <c r="A4" s="0" t="inlineStr">
        <is>
          <t xml:space="preserve">Leitungsgraben 1</t>
        </is>
      </c>
      <c r="B4" s="7" t="inlineStr">
        <is>
          <t xml:space="preserve">Direktverlad und Abtransport: Nein</t>
        </is>
      </c>
      <c r="C4" s="0" t="inlineStr">
        <is>
          <t xml:space="preserve">Ja</t>
        </is>
      </c>
      <c r="D4" s="3">
        <v>-9.48</v>
      </c>
    </row>
    <row r="5">
      <c r="A5" s="0" t="inlineStr">
        <is>
          <t xml:space="preserve">—</t>
        </is>
      </c>
      <c r="B5" s="7" t="inlineStr">
        <is>
          <t xml:space="preserve">Dichte Ausbauasphalt: 2.4 t/m³</t>
        </is>
      </c>
      <c r="C5" s="0" t="inlineStr">
        <is>
          <t xml:space="preserve">2.2 t/m³</t>
        </is>
      </c>
      <c r="D5" s="3">
        <v>-202.45</v>
      </c>
    </row>
  </sheetData>
  <pageMargins left="0.5" right="0.5" top="0.6" bottom="0.6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>
  <sheetPr>
    <pageSetUpPr fitToPage="1"/>
  </sheetPr>
  <sheetViews>
    <sheetView workbookViewId="0" showGridLines="0"/>
  </sheetViews>
  <sheetFormatPr defaultRowHeight="15"/>
  <cols>
    <col min="1" max="1" width="36" customWidth="1"/>
    <col min="2" max="2" width="12" customWidth="1"/>
    <col min="3" max="3" width="110" customWidth="1"/>
  </cols>
  <sheetData>
    <row r="1">
      <c r="A1" s="1" t="inlineStr">
        <is>
          <t xml:space="preserve">Element</t>
        </is>
      </c>
      <c r="B1" s="1" t="inlineStr">
        <is>
          <t xml:space="preserve">Schweregrad</t>
        </is>
      </c>
      <c r="C1" s="1" t="inlineStr">
        <is>
          <t xml:space="preserve">Hinweis</t>
        </is>
      </c>
    </row>
    <row r="2">
      <c r="A2" s="22" t="inlineStr">
        <is>
          <t xml:space="preserve">Graben · Leitungsgraben 1</t>
        </is>
      </c>
      <c r="B2" s="22" t="inlineStr">
        <is>
          <t xml:space="preserve">Info</t>
        </is>
      </c>
      <c r="C2" s="22" t="inlineStr">
        <is>
          <t xml:space="preserve">Muffen: 1 je 5 m Rohr × Anzahl Rohre = 8 St (Regel nach Devis-Beispiel).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8.xml><?xml version="1.0" encoding="utf-8"?>
<worksheet xmlns="http://schemas.openxmlformats.org/spreadsheetml/2006/main">
  <sheetPr>
    <pageSetUpPr fitToPage="1"/>
  </sheetPr>
  <sheetViews>
    <sheetView workbookViewId="0" showGridLines="0"/>
  </sheetViews>
  <sheetFormatPr defaultRowHeight="15"/>
  <cols>
    <col min="1" max="1" width="150" customWidth="1"/>
  </cols>
  <sheetData>
    <row r="1">
      <c r="A1" s="5" t="inlineStr">
        <is>
          <t xml:space="preserve">Grundlagen und Annahmen</t>
        </is>
      </c>
    </row>
    <row r="2"/>
    <row r="3">
      <c r="A3" s="7" t="inlineStr">
        <is>
          <t xml:space="preserve">LV Swisscom Infrastrukturarbeiten bei Baukooperationen, Version 1.1, 10.07.2026 (NPK-Bau, Test LV 2026, Stand 08.07.26): alle Positionsnummern, Einheiten und Einheitspreise.</t>
        </is>
      </c>
    </row>
    <row r="4">
      <c r="A4" s="7" t="inlineStr">
        <is>
          <t xml:space="preserve">Grabenbreite: VSE-Branchenempfehlung «Verlegung von Kabelschutzrohren aus Kunststoff» (Nr. 1103d) und BauAV Art. 55.</t>
        </is>
      </c>
    </row>
    <row r="5">
      <c r="A5" s="7" t="inlineStr">
        <is>
          <t xml:space="preserve">Rabatt R151 und Installationspauschale R152 nach LV; Stufe nach der Zwischensumme vor Rabatt (im LV nicht näher bestimmt).</t>
        </is>
      </c>
    </row>
    <row r="6">
      <c r="A6" s="7" t="inlineStr">
        <is>
          <t xml:space="preserve">Umrechnung Ausbauasphalt: 2.4 t/m³ (LV-Umrechnungstabelle). Volumen durchgehend fest; das LV bemisst Grabenverfüllungen nach dem Ausmass des Aushubs abzüglich Einbauten (Ausmassbestimmung 026.200).</t>
        </is>
      </c>
    </row>
    <row r="7">
      <c r="A7" s="7" t="inlineStr">
        <is>
          <t xml:space="preserve">Annahmen des Tools (überschreibbar): Handanteil 10/30/50 %, Leitungszone 0.035 m²/m, Schacht-Aussenmasse und Arbeitsraum, Muffenformel (vorläufig).</t>
        </is>
      </c>
    </row>
    <row r="8">
      <c r="A8" s="7" t="inlineStr">
        <is>
          <t xml:space="preserve">Positionstexte: DE aus LV V1.1; FR aus LV FR V1.0 und IT aus LV IT V1.0 (27.06.2026). Massgebend ist der deutsche LV-Text.</t>
        </is>
      </c>
    </row>
    <row r="9">
      <c r="A9" s="7" t="inlineStr">
        <is>
          <t xml:space="preserve">Erstellt mit KV-Assistent Tiefbau</t>
        </is>
      </c>
    </row>
  </sheetData>
  <pageMargins left="0.5" right="0.5" top="0.6" bottom="0.6" header="0.3" footer="0.3"/>
  <pageSetup paperSize="9" orientation="landscape" fitToWidth="1" fitToHeight="0"/>
</worksheet>
</file>